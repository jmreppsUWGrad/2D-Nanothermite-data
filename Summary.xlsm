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5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6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7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8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9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0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1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2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5.xml" ContentType="application/vnd.openxmlformats-officedocument.drawing+xml"/>
  <Override PartName="/xl/charts/chart33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seph\Documents\School\Research\Nanothermite\Data\"/>
    </mc:Choice>
  </mc:AlternateContent>
  <xr:revisionPtr revIDLastSave="0" documentId="13_ncr:1_{C7201791-B72A-4588-A156-68843B995E36}" xr6:coauthVersionLast="44" xr6:coauthVersionMax="44" xr10:uidLastSave="{00000000-0000-0000-0000-000000000000}"/>
  <bookViews>
    <workbookView xWindow="-120" yWindow="-120" windowWidth="20730" windowHeight="11160" firstSheet="3" activeTab="5" xr2:uid="{B2402E43-B038-44F0-8C18-7ACD788C4A69}"/>
  </bookViews>
  <sheets>
    <sheet name="Tests" sheetId="11" r:id="rId1"/>
    <sheet name="Tests-Pl" sheetId="12" r:id="rId2"/>
    <sheet name="Tests-Axi" sheetId="6" r:id="rId3"/>
    <sheet name="nano-Axi" sheetId="9" r:id="rId4"/>
    <sheet name="nano (3e5)" sheetId="13" r:id="rId5"/>
    <sheet name="Graphs" sheetId="5" r:id="rId6"/>
    <sheet name="Stacy2014" sheetId="10" r:id="rId7"/>
    <sheet name="Src" sheetId="8" r:id="rId8"/>
    <sheet name="ign" sheetId="7" r:id="rId9"/>
    <sheet name="Conserv" sheetId="1" r:id="rId10"/>
    <sheet name="VarPropEta" sheetId="3" r:id="rId11"/>
  </sheets>
  <definedNames>
    <definedName name="_xlnm._FilterDatabase" localSheetId="9" hidden="1">Conserv!$A$2:$R$47</definedName>
    <definedName name="_xlnm._FilterDatabase" localSheetId="4" hidden="1">'nano (3e5)'!$A$2:$Z$9</definedName>
    <definedName name="_xlnm._FilterDatabase" localSheetId="3" hidden="1">'nano-Axi'!$A$2:$Z$9</definedName>
    <definedName name="_xlnm._FilterDatabase" localSheetId="2" hidden="1">'Tests-Axi'!$A$2:$X$62</definedName>
    <definedName name="_xlnm._FilterDatabase" localSheetId="1" hidden="1">'Tests-Pl'!$A$2:$X$64</definedName>
    <definedName name="_xlnm._FilterDatabase" localSheetId="10" hidden="1">VarPropEta!$A$2:$O$39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J45" i="5" l="1"/>
  <c r="CJ46" i="5"/>
  <c r="CJ47" i="5"/>
  <c r="CJ48" i="5"/>
  <c r="CJ49" i="5"/>
  <c r="CJ50" i="5"/>
  <c r="CJ51" i="5"/>
  <c r="CJ52" i="5"/>
  <c r="CJ53" i="5"/>
  <c r="CJ54" i="5"/>
  <c r="CJ55" i="5"/>
  <c r="CJ56" i="5"/>
  <c r="CJ57" i="5"/>
  <c r="CJ58" i="5"/>
  <c r="CJ59" i="5"/>
  <c r="CJ60" i="5"/>
  <c r="CJ61" i="5"/>
  <c r="CJ62" i="5"/>
  <c r="CJ63" i="5"/>
  <c r="CJ64" i="5"/>
  <c r="CJ65" i="5"/>
  <c r="CJ66" i="5"/>
  <c r="CJ67" i="5"/>
  <c r="CJ68" i="5"/>
  <c r="CJ69" i="5"/>
  <c r="CJ70" i="5"/>
  <c r="CJ71" i="5"/>
  <c r="CJ72" i="5"/>
  <c r="CJ73" i="5"/>
  <c r="CJ74" i="5"/>
  <c r="CJ75" i="5"/>
  <c r="CJ76" i="5"/>
  <c r="CJ77" i="5"/>
  <c r="CJ78" i="5"/>
  <c r="CJ79" i="5"/>
  <c r="CJ80" i="5"/>
  <c r="CJ81" i="5"/>
  <c r="CJ82" i="5"/>
  <c r="CJ83" i="5"/>
  <c r="CJ84" i="5"/>
  <c r="CJ85" i="5"/>
  <c r="CJ86" i="5"/>
  <c r="CJ87" i="5"/>
  <c r="CJ88" i="5"/>
  <c r="CJ89" i="5"/>
  <c r="CJ90" i="5"/>
  <c r="CJ91" i="5"/>
  <c r="CJ92" i="5"/>
  <c r="CJ93" i="5"/>
  <c r="CJ44" i="5"/>
  <c r="X81" i="13" l="1"/>
  <c r="X79" i="13"/>
  <c r="X78" i="13"/>
  <c r="X75" i="13"/>
  <c r="X74" i="13"/>
  <c r="X73" i="13"/>
  <c r="X72" i="13"/>
  <c r="X71" i="13"/>
  <c r="X70" i="13"/>
  <c r="X69" i="13"/>
  <c r="X68" i="13"/>
  <c r="X67" i="13"/>
  <c r="X66" i="13"/>
  <c r="X65" i="13"/>
  <c r="X63" i="13"/>
  <c r="X62" i="13"/>
  <c r="X61" i="13"/>
  <c r="X60" i="13"/>
  <c r="X59" i="13"/>
  <c r="X58" i="13"/>
  <c r="X57" i="13"/>
  <c r="X56" i="13"/>
  <c r="X55" i="13"/>
  <c r="X54" i="13"/>
  <c r="X52" i="13"/>
  <c r="X51" i="13"/>
  <c r="X50" i="13"/>
  <c r="X49" i="13"/>
  <c r="X48" i="13"/>
  <c r="X47" i="13"/>
  <c r="X46" i="13"/>
  <c r="X45" i="13"/>
  <c r="X44" i="13"/>
  <c r="X42" i="13"/>
  <c r="X41" i="13"/>
  <c r="X40" i="13"/>
  <c r="X39" i="13"/>
  <c r="X38" i="13"/>
  <c r="X37" i="13"/>
  <c r="X36" i="13"/>
  <c r="X35" i="13"/>
  <c r="X34" i="13"/>
  <c r="X33" i="13"/>
  <c r="X31" i="13"/>
  <c r="X30" i="13"/>
  <c r="X29" i="13"/>
  <c r="X28" i="13"/>
  <c r="X27" i="13"/>
  <c r="X26" i="13"/>
  <c r="X25" i="13"/>
  <c r="X24" i="13"/>
  <c r="X23" i="13"/>
  <c r="X22" i="13"/>
  <c r="X20" i="13"/>
  <c r="X19" i="13"/>
  <c r="X18" i="13"/>
  <c r="X17" i="13"/>
  <c r="X16" i="13"/>
  <c r="X15" i="13"/>
  <c r="X14" i="13"/>
  <c r="X13" i="13"/>
  <c r="X12" i="13"/>
  <c r="X11" i="13"/>
  <c r="X9" i="13"/>
  <c r="X8" i="13"/>
  <c r="X7" i="13"/>
  <c r="X6" i="13"/>
  <c r="X5" i="13"/>
  <c r="CF85" i="5" l="1"/>
  <c r="CG85" i="5"/>
  <c r="CH85" i="5"/>
  <c r="CF86" i="5"/>
  <c r="CG86" i="5"/>
  <c r="CH86" i="5"/>
  <c r="CF87" i="5"/>
  <c r="CG87" i="5"/>
  <c r="CH87" i="5"/>
  <c r="CF88" i="5"/>
  <c r="CG88" i="5"/>
  <c r="CH88" i="5"/>
  <c r="CF89" i="5"/>
  <c r="CG89" i="5"/>
  <c r="CH89" i="5"/>
  <c r="CF90" i="5"/>
  <c r="CG90" i="5"/>
  <c r="CH90" i="5"/>
  <c r="CF91" i="5"/>
  <c r="CG91" i="5"/>
  <c r="CH91" i="5"/>
  <c r="CF92" i="5"/>
  <c r="CG92" i="5"/>
  <c r="CH92" i="5"/>
  <c r="CF93" i="5"/>
  <c r="CG93" i="5"/>
  <c r="CH93" i="5"/>
  <c r="CE87" i="5"/>
  <c r="CE88" i="5"/>
  <c r="CE89" i="5" s="1"/>
  <c r="CE90" i="5" s="1"/>
  <c r="CE91" i="5" s="1"/>
  <c r="CE92" i="5" s="1"/>
  <c r="CE93" i="5" s="1"/>
  <c r="CE86" i="5"/>
  <c r="BZ86" i="5"/>
  <c r="BZ87" i="5"/>
  <c r="BZ88" i="5"/>
  <c r="BZ89" i="5"/>
  <c r="BZ90" i="5"/>
  <c r="BZ91" i="5"/>
  <c r="BZ92" i="5"/>
  <c r="BZ93" i="5"/>
  <c r="BZ85" i="5"/>
  <c r="CC80" i="5"/>
  <c r="CC81" i="5" s="1"/>
  <c r="CC82" i="5" s="1"/>
  <c r="CC83" i="5" s="1"/>
  <c r="CC84" i="5" s="1"/>
  <c r="CC85" i="5" s="1"/>
  <c r="CC45" i="5"/>
  <c r="CC46" i="5" s="1"/>
  <c r="CC47" i="5" s="1"/>
  <c r="CC48" i="5" s="1"/>
  <c r="CC49" i="5" s="1"/>
  <c r="CC50" i="5" s="1"/>
  <c r="CC51" i="5" s="1"/>
  <c r="CC52" i="5" s="1"/>
  <c r="CC53" i="5" s="1"/>
  <c r="CC54" i="5" s="1"/>
  <c r="CC55" i="5" s="1"/>
  <c r="CC56" i="5" s="1"/>
  <c r="CC57" i="5" s="1"/>
  <c r="CC58" i="5" s="1"/>
  <c r="CC59" i="5" s="1"/>
  <c r="CC60" i="5" s="1"/>
  <c r="CC61" i="5" s="1"/>
  <c r="CC62" i="5" s="1"/>
  <c r="CC63" i="5" s="1"/>
  <c r="CC64" i="5" s="1"/>
  <c r="CC65" i="5" s="1"/>
  <c r="CC66" i="5" s="1"/>
  <c r="CC67" i="5" s="1"/>
  <c r="CC68" i="5" s="1"/>
  <c r="CC69" i="5" s="1"/>
  <c r="CE81" i="5"/>
  <c r="CE82" i="5" s="1"/>
  <c r="CE77" i="5"/>
  <c r="CE78" i="5"/>
  <c r="CE79" i="5" s="1"/>
  <c r="CF79" i="5" s="1"/>
  <c r="CG79" i="5" s="1"/>
  <c r="CE76" i="5"/>
  <c r="CE72" i="5"/>
  <c r="CE73" i="5"/>
  <c r="CE74" i="5" s="1"/>
  <c r="CF74" i="5" s="1"/>
  <c r="CG74" i="5" s="1"/>
  <c r="CE71" i="5"/>
  <c r="CE62" i="5"/>
  <c r="CE63" i="5" s="1"/>
  <c r="CE64" i="5" s="1"/>
  <c r="CE65" i="5" s="1"/>
  <c r="CE66" i="5" s="1"/>
  <c r="CE67" i="5" s="1"/>
  <c r="CE68" i="5" s="1"/>
  <c r="CE69" i="5" s="1"/>
  <c r="CE45" i="5"/>
  <c r="CE46" i="5" s="1"/>
  <c r="CE47" i="5" s="1"/>
  <c r="CE48" i="5" s="1"/>
  <c r="CE49" i="5" s="1"/>
  <c r="CE50" i="5" s="1"/>
  <c r="CE51" i="5" s="1"/>
  <c r="CE52" i="5" s="1"/>
  <c r="CE53" i="5" s="1"/>
  <c r="CE54" i="5" s="1"/>
  <c r="CE55" i="5" s="1"/>
  <c r="CE56" i="5" s="1"/>
  <c r="CE57" i="5" s="1"/>
  <c r="CE58" i="5" s="1"/>
  <c r="CE59" i="5" s="1"/>
  <c r="CE60" i="5" s="1"/>
  <c r="CD81" i="5"/>
  <c r="CD82" i="5" s="1"/>
  <c r="CD83" i="5" s="1"/>
  <c r="CD84" i="5" s="1"/>
  <c r="CD62" i="5"/>
  <c r="CD63" i="5" s="1"/>
  <c r="CD64" i="5" s="1"/>
  <c r="CD65" i="5" s="1"/>
  <c r="CD66" i="5" s="1"/>
  <c r="CD67" i="5" s="1"/>
  <c r="CD68" i="5" s="1"/>
  <c r="CD69" i="5" s="1"/>
  <c r="CD58" i="5"/>
  <c r="CD59" i="5"/>
  <c r="CD60" i="5" s="1"/>
  <c r="CD57" i="5"/>
  <c r="CD53" i="5"/>
  <c r="CD54" i="5"/>
  <c r="CD55" i="5" s="1"/>
  <c r="CD52" i="5"/>
  <c r="CD45" i="5"/>
  <c r="CD46" i="5" s="1"/>
  <c r="CD47" i="5" s="1"/>
  <c r="CD48" i="5" s="1"/>
  <c r="CD49" i="5" s="1"/>
  <c r="CD50" i="5" s="1"/>
  <c r="CF80" i="5"/>
  <c r="CG80" i="5" s="1"/>
  <c r="BZ84" i="5"/>
  <c r="BZ83" i="5"/>
  <c r="BZ82" i="5"/>
  <c r="BZ81" i="5"/>
  <c r="BZ80" i="5"/>
  <c r="BZ75" i="5"/>
  <c r="BZ76" i="5"/>
  <c r="BZ77" i="5"/>
  <c r="BZ78" i="5"/>
  <c r="BZ79" i="5"/>
  <c r="CF75" i="5"/>
  <c r="CG75" i="5" s="1"/>
  <c r="CF76" i="5"/>
  <c r="CG76" i="5" s="1"/>
  <c r="CF77" i="5"/>
  <c r="CG77" i="5" s="1"/>
  <c r="BZ74" i="5"/>
  <c r="BZ70" i="5"/>
  <c r="CF70" i="5" s="1"/>
  <c r="BZ71" i="5"/>
  <c r="CF71" i="5" s="1"/>
  <c r="BZ72" i="5"/>
  <c r="CF72" i="5" s="1"/>
  <c r="BZ73" i="5"/>
  <c r="CF81" i="5" l="1"/>
  <c r="CG81" i="5" s="1"/>
  <c r="CI85" i="5"/>
  <c r="CC86" i="5"/>
  <c r="CF82" i="5"/>
  <c r="CG82" i="5" s="1"/>
  <c r="CE83" i="5"/>
  <c r="CE84" i="5" s="1"/>
  <c r="CF84" i="5" s="1"/>
  <c r="CG84" i="5" s="1"/>
  <c r="CF78" i="5"/>
  <c r="CG78" i="5" s="1"/>
  <c r="CF73" i="5"/>
  <c r="CG73" i="5" s="1"/>
  <c r="CH80" i="5"/>
  <c r="CI80" i="5"/>
  <c r="CH79" i="5"/>
  <c r="CH78" i="5"/>
  <c r="CH77" i="5"/>
  <c r="CH76" i="5"/>
  <c r="CH75" i="5"/>
  <c r="CI79" i="5"/>
  <c r="CI78" i="5"/>
  <c r="CI77" i="5"/>
  <c r="CI76" i="5"/>
  <c r="CI75" i="5"/>
  <c r="CH74" i="5"/>
  <c r="CI74" i="5"/>
  <c r="CH72" i="5"/>
  <c r="CG72" i="5"/>
  <c r="CI72" i="5"/>
  <c r="CH73" i="5"/>
  <c r="CI73" i="5"/>
  <c r="CH71" i="5"/>
  <c r="CG71" i="5"/>
  <c r="CI71" i="5"/>
  <c r="CH70" i="5"/>
  <c r="CG70" i="5"/>
  <c r="CI70" i="5"/>
  <c r="X81" i="9"/>
  <c r="X107" i="5"/>
  <c r="Y107" i="5"/>
  <c r="Z107" i="5"/>
  <c r="AA107" i="5"/>
  <c r="AB107" i="5"/>
  <c r="AC107" i="5"/>
  <c r="AD107" i="5"/>
  <c r="AE107" i="5"/>
  <c r="X100" i="5"/>
  <c r="Y100" i="5"/>
  <c r="Z100" i="5"/>
  <c r="AA100" i="5"/>
  <c r="AB100" i="5"/>
  <c r="AC100" i="5"/>
  <c r="AD100" i="5"/>
  <c r="AE100" i="5"/>
  <c r="X101" i="5"/>
  <c r="Y101" i="5"/>
  <c r="Z101" i="5"/>
  <c r="AA101" i="5"/>
  <c r="AB101" i="5"/>
  <c r="AC101" i="5"/>
  <c r="AD101" i="5"/>
  <c r="AE101" i="5"/>
  <c r="X102" i="5"/>
  <c r="Y102" i="5"/>
  <c r="Z102" i="5"/>
  <c r="AA102" i="5"/>
  <c r="AB102" i="5"/>
  <c r="AC102" i="5"/>
  <c r="AD102" i="5"/>
  <c r="AE102" i="5"/>
  <c r="X103" i="5"/>
  <c r="Y103" i="5"/>
  <c r="Z103" i="5"/>
  <c r="AA103" i="5"/>
  <c r="AB103" i="5"/>
  <c r="AC103" i="5"/>
  <c r="AD103" i="5"/>
  <c r="AE103" i="5"/>
  <c r="X104" i="5"/>
  <c r="Y104" i="5"/>
  <c r="Z104" i="5"/>
  <c r="AA104" i="5"/>
  <c r="AB104" i="5"/>
  <c r="AC104" i="5"/>
  <c r="AD104" i="5"/>
  <c r="AE104" i="5"/>
  <c r="X105" i="5"/>
  <c r="Y105" i="5"/>
  <c r="Z105" i="5"/>
  <c r="AA105" i="5"/>
  <c r="AB105" i="5"/>
  <c r="AC105" i="5"/>
  <c r="AD105" i="5"/>
  <c r="AE105" i="5"/>
  <c r="X106" i="5"/>
  <c r="Y106" i="5"/>
  <c r="Z106" i="5"/>
  <c r="AA106" i="5"/>
  <c r="AB106" i="5"/>
  <c r="AC106" i="5"/>
  <c r="AD106" i="5"/>
  <c r="AE106" i="5"/>
  <c r="Y99" i="5"/>
  <c r="Z99" i="5"/>
  <c r="AA99" i="5"/>
  <c r="AB99" i="5"/>
  <c r="AC99" i="5"/>
  <c r="AD99" i="5"/>
  <c r="AE99" i="5"/>
  <c r="X99" i="5"/>
  <c r="X96" i="5"/>
  <c r="Y96" i="5"/>
  <c r="Z96" i="5"/>
  <c r="AA96" i="5"/>
  <c r="AB96" i="5"/>
  <c r="AC96" i="5"/>
  <c r="AD96" i="5"/>
  <c r="AE96" i="5"/>
  <c r="X97" i="5"/>
  <c r="Y97" i="5"/>
  <c r="Z97" i="5"/>
  <c r="AA97" i="5"/>
  <c r="AB97" i="5"/>
  <c r="AC97" i="5"/>
  <c r="AD97" i="5"/>
  <c r="AE97" i="5"/>
  <c r="X98" i="5"/>
  <c r="Y98" i="5"/>
  <c r="Z98" i="5"/>
  <c r="AA98" i="5"/>
  <c r="AB98" i="5"/>
  <c r="AC98" i="5"/>
  <c r="AD98" i="5"/>
  <c r="AE98" i="5"/>
  <c r="X88" i="5"/>
  <c r="Y88" i="5"/>
  <c r="Z88" i="5"/>
  <c r="AA88" i="5"/>
  <c r="AB88" i="5"/>
  <c r="AC88" i="5"/>
  <c r="AD88" i="5"/>
  <c r="AE88" i="5"/>
  <c r="X89" i="5"/>
  <c r="Y89" i="5"/>
  <c r="Z89" i="5"/>
  <c r="AA89" i="5"/>
  <c r="AB89" i="5"/>
  <c r="AC89" i="5"/>
  <c r="AD89" i="5"/>
  <c r="AE89" i="5"/>
  <c r="X90" i="5"/>
  <c r="Y90" i="5"/>
  <c r="Z90" i="5"/>
  <c r="AA90" i="5"/>
  <c r="AB90" i="5"/>
  <c r="AC90" i="5"/>
  <c r="AD90" i="5"/>
  <c r="AE90" i="5"/>
  <c r="X91" i="5"/>
  <c r="Y91" i="5"/>
  <c r="Z91" i="5"/>
  <c r="AA91" i="5"/>
  <c r="AB91" i="5"/>
  <c r="AC91" i="5"/>
  <c r="AD91" i="5"/>
  <c r="AE91" i="5"/>
  <c r="X92" i="5"/>
  <c r="Y92" i="5"/>
  <c r="Z92" i="5"/>
  <c r="AA92" i="5"/>
  <c r="AB92" i="5"/>
  <c r="AC92" i="5"/>
  <c r="AD92" i="5"/>
  <c r="AE92" i="5"/>
  <c r="X93" i="5"/>
  <c r="Y93" i="5"/>
  <c r="Z93" i="5"/>
  <c r="AA93" i="5"/>
  <c r="AB93" i="5"/>
  <c r="AC93" i="5"/>
  <c r="AD93" i="5"/>
  <c r="AE93" i="5"/>
  <c r="X94" i="5"/>
  <c r="Y94" i="5"/>
  <c r="Z94" i="5"/>
  <c r="AA94" i="5"/>
  <c r="AB94" i="5"/>
  <c r="AC94" i="5"/>
  <c r="AD94" i="5"/>
  <c r="AE94" i="5"/>
  <c r="X95" i="5"/>
  <c r="Y95" i="5"/>
  <c r="Z95" i="5"/>
  <c r="AA95" i="5"/>
  <c r="AB95" i="5"/>
  <c r="AC95" i="5"/>
  <c r="AD95" i="5"/>
  <c r="AE95" i="5"/>
  <c r="Y87" i="5"/>
  <c r="Z87" i="5"/>
  <c r="AA87" i="5"/>
  <c r="AB87" i="5"/>
  <c r="AC87" i="5"/>
  <c r="AD87" i="5"/>
  <c r="AE87" i="5"/>
  <c r="X87" i="5"/>
  <c r="X84" i="5"/>
  <c r="Y84" i="5"/>
  <c r="Z84" i="5"/>
  <c r="AA84" i="5"/>
  <c r="AB84" i="5"/>
  <c r="AC84" i="5"/>
  <c r="AD84" i="5"/>
  <c r="AE84" i="5"/>
  <c r="X85" i="5"/>
  <c r="Y85" i="5"/>
  <c r="Z85" i="5"/>
  <c r="AA85" i="5"/>
  <c r="AB85" i="5"/>
  <c r="AC85" i="5"/>
  <c r="AD85" i="5"/>
  <c r="AE85" i="5"/>
  <c r="X86" i="5"/>
  <c r="Y86" i="5"/>
  <c r="Z86" i="5"/>
  <c r="AA86" i="5"/>
  <c r="AB86" i="5"/>
  <c r="AC86" i="5"/>
  <c r="AD86" i="5"/>
  <c r="AE86" i="5"/>
  <c r="X75" i="5"/>
  <c r="Y75" i="5"/>
  <c r="Z75" i="5"/>
  <c r="AA75" i="5"/>
  <c r="AB75" i="5"/>
  <c r="AC75" i="5"/>
  <c r="AD75" i="5"/>
  <c r="AE75" i="5"/>
  <c r="X76" i="5"/>
  <c r="Y76" i="5"/>
  <c r="Z76" i="5"/>
  <c r="AA76" i="5"/>
  <c r="AB76" i="5"/>
  <c r="AC76" i="5"/>
  <c r="AD76" i="5"/>
  <c r="AE76" i="5"/>
  <c r="X77" i="5"/>
  <c r="Y77" i="5"/>
  <c r="Z77" i="5"/>
  <c r="AA77" i="5"/>
  <c r="AB77" i="5"/>
  <c r="AC77" i="5"/>
  <c r="AD77" i="5"/>
  <c r="AE77" i="5"/>
  <c r="X78" i="5"/>
  <c r="Y78" i="5"/>
  <c r="Z78" i="5"/>
  <c r="AA78" i="5"/>
  <c r="AB78" i="5"/>
  <c r="AC78" i="5"/>
  <c r="AD78" i="5"/>
  <c r="AE78" i="5"/>
  <c r="X79" i="5"/>
  <c r="Y79" i="5"/>
  <c r="Z79" i="5"/>
  <c r="AA79" i="5"/>
  <c r="AB79" i="5"/>
  <c r="AC79" i="5"/>
  <c r="AD79" i="5"/>
  <c r="AE79" i="5"/>
  <c r="X80" i="5"/>
  <c r="Y80" i="5"/>
  <c r="Z80" i="5"/>
  <c r="AA80" i="5"/>
  <c r="AB80" i="5"/>
  <c r="AC80" i="5"/>
  <c r="AD80" i="5"/>
  <c r="AE80" i="5"/>
  <c r="X81" i="5"/>
  <c r="Y81" i="5"/>
  <c r="Z81" i="5"/>
  <c r="AA81" i="5"/>
  <c r="AB81" i="5"/>
  <c r="AC81" i="5"/>
  <c r="AD81" i="5"/>
  <c r="AE81" i="5"/>
  <c r="X82" i="5"/>
  <c r="Y82" i="5"/>
  <c r="Z82" i="5"/>
  <c r="AA82" i="5"/>
  <c r="AB82" i="5"/>
  <c r="AC82" i="5"/>
  <c r="AD82" i="5"/>
  <c r="AE82" i="5"/>
  <c r="X83" i="5"/>
  <c r="Y83" i="5"/>
  <c r="Z83" i="5"/>
  <c r="AA83" i="5"/>
  <c r="AB83" i="5"/>
  <c r="AC83" i="5"/>
  <c r="AD83" i="5"/>
  <c r="AE83" i="5"/>
  <c r="Y74" i="5"/>
  <c r="Z74" i="5"/>
  <c r="AA74" i="5"/>
  <c r="AB74" i="5"/>
  <c r="AC74" i="5"/>
  <c r="AD74" i="5"/>
  <c r="AE74" i="5"/>
  <c r="X74" i="5"/>
  <c r="BA55" i="5"/>
  <c r="BA56" i="5"/>
  <c r="BA57" i="5"/>
  <c r="BA58" i="5"/>
  <c r="BA54" i="5"/>
  <c r="BA45" i="5"/>
  <c r="BA46" i="5"/>
  <c r="BA47" i="5"/>
  <c r="BA48" i="5"/>
  <c r="BA49" i="5"/>
  <c r="BA50" i="5"/>
  <c r="BA51" i="5"/>
  <c r="BA44" i="5"/>
  <c r="AS53" i="5"/>
  <c r="AS54" i="5"/>
  <c r="AS55" i="5"/>
  <c r="AS56" i="5"/>
  <c r="AS52" i="5"/>
  <c r="AS45" i="5"/>
  <c r="AS46" i="5"/>
  <c r="AS47" i="5"/>
  <c r="AS48" i="5"/>
  <c r="AS49" i="5"/>
  <c r="AS50" i="5"/>
  <c r="AS51" i="5"/>
  <c r="AS44" i="5"/>
  <c r="AC69" i="5"/>
  <c r="AC70" i="5"/>
  <c r="AC71" i="5"/>
  <c r="AC72" i="5"/>
  <c r="AC73" i="5"/>
  <c r="AC65" i="5"/>
  <c r="AC66" i="5"/>
  <c r="AC67" i="5"/>
  <c r="AC68" i="5"/>
  <c r="AC60" i="5"/>
  <c r="AC61" i="5"/>
  <c r="AC62" i="5"/>
  <c r="AC63" i="5"/>
  <c r="AC59" i="5"/>
  <c r="AC55" i="5"/>
  <c r="AC56" i="5"/>
  <c r="AC57" i="5"/>
  <c r="AC58" i="5"/>
  <c r="AC54" i="5"/>
  <c r="AC50" i="5"/>
  <c r="AC51" i="5"/>
  <c r="AC52" i="5"/>
  <c r="AC53" i="5"/>
  <c r="AC49" i="5"/>
  <c r="AC45" i="5"/>
  <c r="AC46" i="5"/>
  <c r="AC47" i="5"/>
  <c r="AC48" i="5"/>
  <c r="AC44" i="5"/>
  <c r="U55" i="5"/>
  <c r="U56" i="5"/>
  <c r="U57" i="5"/>
  <c r="U58" i="5"/>
  <c r="U54" i="5"/>
  <c r="U45" i="5"/>
  <c r="U46" i="5"/>
  <c r="U47" i="5"/>
  <c r="U48" i="5"/>
  <c r="U49" i="5"/>
  <c r="U50" i="5"/>
  <c r="U51" i="5"/>
  <c r="U44" i="5"/>
  <c r="CH81" i="5" l="1"/>
  <c r="CI84" i="5"/>
  <c r="CI81" i="5"/>
  <c r="CH84" i="5"/>
  <c r="CF83" i="5"/>
  <c r="CI83" i="5" s="1"/>
  <c r="CC87" i="5"/>
  <c r="CI86" i="5"/>
  <c r="CI82" i="5"/>
  <c r="CH82" i="5"/>
  <c r="CF44" i="5"/>
  <c r="CG44" i="5" s="1"/>
  <c r="BZ99" i="5"/>
  <c r="BZ98" i="5"/>
  <c r="BZ45" i="5"/>
  <c r="CF45" i="5" s="1"/>
  <c r="CG45" i="5" s="1"/>
  <c r="BZ46" i="5"/>
  <c r="CF46" i="5" s="1"/>
  <c r="CG46" i="5" s="1"/>
  <c r="BZ47" i="5"/>
  <c r="CF47" i="5" s="1"/>
  <c r="CG47" i="5" s="1"/>
  <c r="BZ48" i="5"/>
  <c r="CF48" i="5" s="1"/>
  <c r="CG48" i="5" s="1"/>
  <c r="BZ49" i="5"/>
  <c r="CF49" i="5" s="1"/>
  <c r="CG49" i="5" s="1"/>
  <c r="BZ50" i="5"/>
  <c r="CF50" i="5" s="1"/>
  <c r="CG50" i="5" s="1"/>
  <c r="BZ51" i="5"/>
  <c r="CF51" i="5" s="1"/>
  <c r="CG51" i="5" s="1"/>
  <c r="BZ52" i="5"/>
  <c r="CF52" i="5" s="1"/>
  <c r="CG52" i="5" s="1"/>
  <c r="BZ53" i="5"/>
  <c r="CF53" i="5" s="1"/>
  <c r="CH53" i="5" s="1"/>
  <c r="BZ54" i="5"/>
  <c r="CF54" i="5" s="1"/>
  <c r="CG54" i="5" s="1"/>
  <c r="BZ55" i="5"/>
  <c r="CF55" i="5" s="1"/>
  <c r="CG55" i="5" s="1"/>
  <c r="BZ56" i="5"/>
  <c r="CF56" i="5" s="1"/>
  <c r="CG56" i="5" s="1"/>
  <c r="BZ57" i="5"/>
  <c r="CF57" i="5" s="1"/>
  <c r="CG57" i="5" s="1"/>
  <c r="BZ58" i="5"/>
  <c r="CF58" i="5" s="1"/>
  <c r="CG58" i="5" s="1"/>
  <c r="BZ59" i="5"/>
  <c r="CF59" i="5" s="1"/>
  <c r="CH59" i="5" s="1"/>
  <c r="BZ60" i="5"/>
  <c r="CF60" i="5" s="1"/>
  <c r="CG60" i="5" s="1"/>
  <c r="BZ61" i="5"/>
  <c r="CF61" i="5" s="1"/>
  <c r="CG61" i="5" s="1"/>
  <c r="BZ62" i="5"/>
  <c r="CF62" i="5" s="1"/>
  <c r="BZ63" i="5"/>
  <c r="CF63" i="5" s="1"/>
  <c r="CG63" i="5" s="1"/>
  <c r="BZ64" i="5"/>
  <c r="CF64" i="5" s="1"/>
  <c r="CG64" i="5" s="1"/>
  <c r="BZ65" i="5"/>
  <c r="CF65" i="5" s="1"/>
  <c r="BZ66" i="5"/>
  <c r="CF66" i="5" s="1"/>
  <c r="CG66" i="5" s="1"/>
  <c r="BZ67" i="5"/>
  <c r="CF67" i="5" s="1"/>
  <c r="CG67" i="5" s="1"/>
  <c r="BZ68" i="5"/>
  <c r="CF68" i="5" s="1"/>
  <c r="CG68" i="5" s="1"/>
  <c r="BZ69" i="5"/>
  <c r="CF69" i="5" s="1"/>
  <c r="CG69" i="5" s="1"/>
  <c r="BZ44" i="5"/>
  <c r="CG83" i="5" l="1"/>
  <c r="CH83" i="5"/>
  <c r="CC88" i="5"/>
  <c r="CI87" i="5"/>
  <c r="CG59" i="5"/>
  <c r="CI59" i="5"/>
  <c r="CH65" i="5"/>
  <c r="CG65" i="5"/>
  <c r="CI62" i="5"/>
  <c r="CG62" i="5"/>
  <c r="CI68" i="5"/>
  <c r="CI65" i="5"/>
  <c r="CH62" i="5"/>
  <c r="CG53" i="5"/>
  <c r="CI53" i="5"/>
  <c r="CI50" i="5"/>
  <c r="CI56" i="5"/>
  <c r="CH56" i="5"/>
  <c r="CI47" i="5"/>
  <c r="CH50" i="5"/>
  <c r="CH47" i="5"/>
  <c r="CI64" i="5"/>
  <c r="CI61" i="5"/>
  <c r="CI58" i="5"/>
  <c r="CI55" i="5"/>
  <c r="CI52" i="5"/>
  <c r="CI49" i="5"/>
  <c r="CI46" i="5"/>
  <c r="CH67" i="5"/>
  <c r="CH64" i="5"/>
  <c r="CH61" i="5"/>
  <c r="CH58" i="5"/>
  <c r="CH55" i="5"/>
  <c r="CH52" i="5"/>
  <c r="CH49" i="5"/>
  <c r="CH46" i="5"/>
  <c r="CI67" i="5"/>
  <c r="CH68" i="5"/>
  <c r="CI69" i="5"/>
  <c r="CI66" i="5"/>
  <c r="CI63" i="5"/>
  <c r="CI60" i="5"/>
  <c r="CI57" i="5"/>
  <c r="CI54" i="5"/>
  <c r="CI51" i="5"/>
  <c r="CI48" i="5"/>
  <c r="CI45" i="5"/>
  <c r="CH69" i="5"/>
  <c r="CH66" i="5"/>
  <c r="CH63" i="5"/>
  <c r="CH60" i="5"/>
  <c r="CH57" i="5"/>
  <c r="CH54" i="5"/>
  <c r="CH51" i="5"/>
  <c r="CH48" i="5"/>
  <c r="CH45" i="5"/>
  <c r="CH44" i="5"/>
  <c r="CI44" i="5"/>
  <c r="X108" i="9"/>
  <c r="BP46" i="5" s="1"/>
  <c r="X107" i="9"/>
  <c r="BP45" i="5" s="1"/>
  <c r="BQ44" i="5"/>
  <c r="BP44" i="5"/>
  <c r="BB55" i="5"/>
  <c r="BC55" i="5"/>
  <c r="BB56" i="5"/>
  <c r="BC56" i="5"/>
  <c r="BC54" i="5"/>
  <c r="BB54" i="5"/>
  <c r="BB45" i="5"/>
  <c r="BC45" i="5"/>
  <c r="BB46" i="5"/>
  <c r="BC46" i="5"/>
  <c r="BB47" i="5"/>
  <c r="BC47" i="5"/>
  <c r="BB48" i="5"/>
  <c r="BC48" i="5"/>
  <c r="BB49" i="5"/>
  <c r="BC49" i="5"/>
  <c r="BC44" i="5"/>
  <c r="BB44" i="5"/>
  <c r="AT52" i="5"/>
  <c r="AU52" i="5"/>
  <c r="AT53" i="5"/>
  <c r="AU53" i="5"/>
  <c r="AT54" i="5"/>
  <c r="AU54" i="5"/>
  <c r="AT55" i="5"/>
  <c r="AU55" i="5"/>
  <c r="AT56" i="5"/>
  <c r="AU56" i="5"/>
  <c r="AT45" i="5"/>
  <c r="AU45" i="5"/>
  <c r="AT46" i="5"/>
  <c r="AU46" i="5"/>
  <c r="AT47" i="5"/>
  <c r="AU47" i="5"/>
  <c r="AT48" i="5"/>
  <c r="AU48" i="5"/>
  <c r="AT49" i="5"/>
  <c r="AU49" i="5"/>
  <c r="AT50" i="5"/>
  <c r="AU50" i="5"/>
  <c r="AT51" i="5"/>
  <c r="AU51" i="5"/>
  <c r="AU44" i="5"/>
  <c r="AT44" i="5"/>
  <c r="AD69" i="5"/>
  <c r="AE69" i="5"/>
  <c r="AD70" i="5"/>
  <c r="AE70" i="5"/>
  <c r="AD71" i="5"/>
  <c r="AE71" i="5"/>
  <c r="AD72" i="5"/>
  <c r="AE72" i="5"/>
  <c r="AD73" i="5"/>
  <c r="AE73" i="5"/>
  <c r="AD65" i="5"/>
  <c r="AE65" i="5"/>
  <c r="AD66" i="5"/>
  <c r="AE66" i="5"/>
  <c r="AD67" i="5"/>
  <c r="AE67" i="5"/>
  <c r="AD68" i="5"/>
  <c r="AE68" i="5"/>
  <c r="AE64" i="5"/>
  <c r="AD64" i="5"/>
  <c r="AD60" i="5"/>
  <c r="AE60" i="5"/>
  <c r="AD61" i="5"/>
  <c r="AE61" i="5"/>
  <c r="AD62" i="5"/>
  <c r="AE62" i="5"/>
  <c r="AD63" i="5"/>
  <c r="AE63" i="5"/>
  <c r="AE59" i="5"/>
  <c r="AD59" i="5"/>
  <c r="AD55" i="5"/>
  <c r="AE55" i="5"/>
  <c r="AD56" i="5"/>
  <c r="AE56" i="5"/>
  <c r="AD57" i="5"/>
  <c r="AE57" i="5"/>
  <c r="AD58" i="5"/>
  <c r="AE58" i="5"/>
  <c r="AE54" i="5"/>
  <c r="AD54" i="5"/>
  <c r="AD50" i="5"/>
  <c r="AE50" i="5"/>
  <c r="AD51" i="5"/>
  <c r="AE51" i="5"/>
  <c r="AD52" i="5"/>
  <c r="AE52" i="5"/>
  <c r="AD53" i="5"/>
  <c r="AE53" i="5"/>
  <c r="AE49" i="5"/>
  <c r="AD49" i="5"/>
  <c r="AD45" i="5"/>
  <c r="AE45" i="5"/>
  <c r="AD46" i="5"/>
  <c r="AE46" i="5"/>
  <c r="AD47" i="5"/>
  <c r="AE47" i="5"/>
  <c r="AD48" i="5"/>
  <c r="AE48" i="5"/>
  <c r="AE44" i="5"/>
  <c r="AD44" i="5"/>
  <c r="V55" i="5"/>
  <c r="W55" i="5"/>
  <c r="V56" i="5"/>
  <c r="W56" i="5"/>
  <c r="V57" i="5"/>
  <c r="W57" i="5"/>
  <c r="V58" i="5"/>
  <c r="W58" i="5"/>
  <c r="W54" i="5"/>
  <c r="V54" i="5"/>
  <c r="V45" i="5"/>
  <c r="W45" i="5"/>
  <c r="V46" i="5"/>
  <c r="W46" i="5"/>
  <c r="V47" i="5"/>
  <c r="W47" i="5"/>
  <c r="V48" i="5"/>
  <c r="W48" i="5"/>
  <c r="V49" i="5"/>
  <c r="W49" i="5"/>
  <c r="V50" i="5"/>
  <c r="W50" i="5"/>
  <c r="V51" i="5"/>
  <c r="W51" i="5"/>
  <c r="W44" i="5"/>
  <c r="V44" i="5"/>
  <c r="O44" i="5"/>
  <c r="N44" i="5"/>
  <c r="O45" i="5"/>
  <c r="O46" i="5"/>
  <c r="O47" i="5"/>
  <c r="O48" i="5"/>
  <c r="X12" i="9"/>
  <c r="X13" i="9"/>
  <c r="X14" i="9"/>
  <c r="X15" i="9"/>
  <c r="X16" i="9"/>
  <c r="X17" i="9"/>
  <c r="X18" i="9"/>
  <c r="X19" i="9"/>
  <c r="X20" i="9"/>
  <c r="X21" i="9"/>
  <c r="X22" i="9"/>
  <c r="X23" i="9"/>
  <c r="X24" i="9"/>
  <c r="X25" i="9"/>
  <c r="X26" i="9"/>
  <c r="X27" i="9"/>
  <c r="X28" i="9"/>
  <c r="X35" i="9"/>
  <c r="X36" i="9"/>
  <c r="X37" i="9"/>
  <c r="X38" i="9"/>
  <c r="X39" i="9"/>
  <c r="X40" i="9"/>
  <c r="X41" i="9"/>
  <c r="X42" i="9"/>
  <c r="X43" i="9"/>
  <c r="X44" i="9"/>
  <c r="X46" i="9"/>
  <c r="X47" i="9"/>
  <c r="X48" i="9"/>
  <c r="X49" i="9"/>
  <c r="X50" i="9"/>
  <c r="X55" i="9"/>
  <c r="X56" i="9"/>
  <c r="X57" i="9"/>
  <c r="X58" i="9"/>
  <c r="X59" i="9"/>
  <c r="X60" i="9"/>
  <c r="X61" i="9"/>
  <c r="X62" i="9"/>
  <c r="X63" i="9"/>
  <c r="X65" i="9"/>
  <c r="X66" i="9"/>
  <c r="X67" i="9"/>
  <c r="X68" i="9"/>
  <c r="X69" i="9"/>
  <c r="X70" i="9"/>
  <c r="X71" i="9"/>
  <c r="X72" i="9"/>
  <c r="X73" i="9"/>
  <c r="X74" i="9"/>
  <c r="X75" i="9"/>
  <c r="X76" i="9"/>
  <c r="X77" i="9"/>
  <c r="X78" i="9"/>
  <c r="X79" i="9"/>
  <c r="X82" i="9"/>
  <c r="X83" i="9"/>
  <c r="X84" i="9"/>
  <c r="X85" i="9"/>
  <c r="X86" i="9"/>
  <c r="X87" i="9"/>
  <c r="X88" i="9"/>
  <c r="X89" i="9"/>
  <c r="X90" i="9"/>
  <c r="X92" i="9"/>
  <c r="X93" i="9"/>
  <c r="X94" i="9"/>
  <c r="X95" i="9"/>
  <c r="X96" i="9"/>
  <c r="X97" i="9"/>
  <c r="X98" i="9"/>
  <c r="X99" i="9"/>
  <c r="X100" i="9"/>
  <c r="X101" i="9"/>
  <c r="X102" i="9"/>
  <c r="X103" i="9"/>
  <c r="X104" i="9"/>
  <c r="X11" i="9"/>
  <c r="X6" i="9"/>
  <c r="N45" i="5" s="1"/>
  <c r="X7" i="9"/>
  <c r="N46" i="5" s="1"/>
  <c r="X8" i="9"/>
  <c r="N47" i="5" s="1"/>
  <c r="X9" i="9"/>
  <c r="N48" i="5" s="1"/>
  <c r="X5" i="9"/>
  <c r="CC89" i="5" l="1"/>
  <c r="CI88" i="5"/>
  <c r="BQ46" i="5"/>
  <c r="BQ45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31" i="5"/>
  <c r="N132" i="5"/>
  <c r="N133" i="5"/>
  <c r="N134" i="5"/>
  <c r="N135" i="5"/>
  <c r="N136" i="5"/>
  <c r="N137" i="5"/>
  <c r="N138" i="5"/>
  <c r="N139" i="5"/>
  <c r="N140" i="5"/>
  <c r="N141" i="5"/>
  <c r="N142" i="5"/>
  <c r="N143" i="5"/>
  <c r="N144" i="5"/>
  <c r="N145" i="5"/>
  <c r="N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31" i="5"/>
  <c r="CC90" i="5" l="1"/>
  <c r="CI89" i="5"/>
  <c r="S55" i="5"/>
  <c r="T55" i="5"/>
  <c r="S56" i="5"/>
  <c r="T56" i="5"/>
  <c r="S57" i="5"/>
  <c r="T57" i="5"/>
  <c r="S58" i="5"/>
  <c r="T58" i="5"/>
  <c r="T54" i="5"/>
  <c r="S54" i="5"/>
  <c r="Q55" i="5"/>
  <c r="Q56" i="5"/>
  <c r="Q57" i="5"/>
  <c r="Q58" i="5"/>
  <c r="Q54" i="5"/>
  <c r="CC91" i="5" l="1"/>
  <c r="CI90" i="5"/>
  <c r="BN46" i="5"/>
  <c r="BO46" i="5"/>
  <c r="BM46" i="5"/>
  <c r="CC92" i="5" l="1"/>
  <c r="CI91" i="5"/>
  <c r="BO44" i="5"/>
  <c r="BO45" i="5"/>
  <c r="BN45" i="5"/>
  <c r="BN44" i="5"/>
  <c r="BM45" i="5"/>
  <c r="BM44" i="5"/>
  <c r="CC93" i="5" l="1"/>
  <c r="CI93" i="5" s="1"/>
  <c r="CI92" i="5"/>
  <c r="Q46" i="5"/>
  <c r="R46" i="5" s="1"/>
  <c r="S46" i="5"/>
  <c r="T46" i="5"/>
  <c r="Q47" i="5"/>
  <c r="R47" i="5" s="1"/>
  <c r="S47" i="5"/>
  <c r="T47" i="5"/>
  <c r="Q48" i="5"/>
  <c r="R48" i="5" s="1"/>
  <c r="S48" i="5"/>
  <c r="T48" i="5"/>
  <c r="Q49" i="5"/>
  <c r="R49" i="5" s="1"/>
  <c r="S49" i="5"/>
  <c r="T49" i="5"/>
  <c r="Q50" i="5"/>
  <c r="R50" i="5" s="1"/>
  <c r="S50" i="5"/>
  <c r="T50" i="5"/>
  <c r="Q51" i="5"/>
  <c r="R51" i="5" s="1"/>
  <c r="S51" i="5"/>
  <c r="T51" i="5"/>
  <c r="S45" i="5"/>
  <c r="T45" i="5"/>
  <c r="Q45" i="5"/>
  <c r="R45" i="5" s="1"/>
  <c r="Q44" i="5"/>
  <c r="AY55" i="5"/>
  <c r="AZ55" i="5"/>
  <c r="AY56" i="5"/>
  <c r="AZ56" i="5"/>
  <c r="AY57" i="5"/>
  <c r="AZ57" i="5"/>
  <c r="AY58" i="5"/>
  <c r="AZ58" i="5"/>
  <c r="AZ54" i="5"/>
  <c r="AY54" i="5"/>
  <c r="AQ50" i="5" l="1"/>
  <c r="AR50" i="5"/>
  <c r="AQ51" i="5"/>
  <c r="AR51" i="5"/>
  <c r="AP51" i="5"/>
  <c r="AQ48" i="5" l="1"/>
  <c r="AR48" i="5"/>
  <c r="AQ49" i="5"/>
  <c r="AR49" i="5"/>
  <c r="AP49" i="5"/>
  <c r="AP48" i="5"/>
  <c r="AA65" i="5" l="1"/>
  <c r="AB65" i="5"/>
  <c r="AA66" i="5"/>
  <c r="AB66" i="5"/>
  <c r="AA67" i="5"/>
  <c r="AB67" i="5"/>
  <c r="AA68" i="5"/>
  <c r="AB68" i="5"/>
  <c r="AA69" i="5"/>
  <c r="AB69" i="5"/>
  <c r="AA70" i="5"/>
  <c r="AB70" i="5"/>
  <c r="AA71" i="5"/>
  <c r="AB71" i="5"/>
  <c r="AA72" i="5"/>
  <c r="AB72" i="5"/>
  <c r="AA73" i="5"/>
  <c r="AB73" i="5"/>
  <c r="AB64" i="5"/>
  <c r="AC64" i="5" s="1"/>
  <c r="AA64" i="5"/>
  <c r="Z73" i="5"/>
  <c r="Z72" i="5"/>
  <c r="Z71" i="5"/>
  <c r="Z70" i="5"/>
  <c r="Z69" i="5"/>
  <c r="Z68" i="5"/>
  <c r="Z67" i="5"/>
  <c r="Z66" i="5"/>
  <c r="Z65" i="5"/>
  <c r="Z64" i="5"/>
  <c r="AY49" i="5"/>
  <c r="AZ49" i="5"/>
  <c r="AY50" i="5"/>
  <c r="AZ50" i="5"/>
  <c r="AY51" i="5"/>
  <c r="AZ51" i="5"/>
  <c r="AZ48" i="5"/>
  <c r="AY48" i="5"/>
  <c r="V108" i="8" l="1"/>
  <c r="W108" i="8" s="1"/>
  <c r="V107" i="8"/>
  <c r="W107" i="8" s="1"/>
  <c r="V106" i="8"/>
  <c r="W106" i="8" s="1"/>
  <c r="V105" i="8"/>
  <c r="W105" i="8" s="1"/>
  <c r="V104" i="8"/>
  <c r="W104" i="8" s="1"/>
  <c r="V103" i="8"/>
  <c r="W103" i="8" s="1"/>
  <c r="V102" i="8"/>
  <c r="W102" i="8" s="1"/>
  <c r="V101" i="8"/>
  <c r="W101" i="8" s="1"/>
  <c r="V100" i="8"/>
  <c r="W100" i="8" s="1"/>
  <c r="V99" i="8"/>
  <c r="W99" i="8" s="1"/>
  <c r="V98" i="8"/>
  <c r="W98" i="8" s="1"/>
  <c r="V97" i="8"/>
  <c r="W97" i="8" s="1"/>
  <c r="V96" i="8"/>
  <c r="W96" i="8" s="1"/>
  <c r="V95" i="8"/>
  <c r="W95" i="8" s="1"/>
  <c r="V94" i="8"/>
  <c r="W94" i="8" s="1"/>
  <c r="V93" i="8"/>
  <c r="W93" i="8" s="1"/>
  <c r="V92" i="8"/>
  <c r="W92" i="8" s="1"/>
  <c r="V91" i="8"/>
  <c r="W91" i="8" s="1"/>
  <c r="V90" i="8"/>
  <c r="W90" i="8" s="1"/>
  <c r="V89" i="8"/>
  <c r="W89" i="8" s="1"/>
  <c r="V88" i="8"/>
  <c r="W88" i="8" s="1"/>
  <c r="V87" i="8"/>
  <c r="W87" i="8" s="1"/>
  <c r="V86" i="8"/>
  <c r="W86" i="8" s="1"/>
  <c r="V85" i="8"/>
  <c r="W85" i="8" s="1"/>
  <c r="V84" i="8"/>
  <c r="W84" i="8" s="1"/>
  <c r="V83" i="8"/>
  <c r="W83" i="8" s="1"/>
  <c r="V82" i="8"/>
  <c r="W82" i="8" s="1"/>
  <c r="V81" i="8"/>
  <c r="W81" i="8" s="1"/>
  <c r="V80" i="8"/>
  <c r="W80" i="8" s="1"/>
  <c r="V79" i="8"/>
  <c r="W79" i="8" s="1"/>
  <c r="V78" i="8"/>
  <c r="W78" i="8" s="1"/>
  <c r="V77" i="8"/>
  <c r="W77" i="8" s="1"/>
  <c r="V76" i="8"/>
  <c r="W76" i="8" s="1"/>
  <c r="V75" i="8"/>
  <c r="W75" i="8" s="1"/>
  <c r="V74" i="8"/>
  <c r="W74" i="8" s="1"/>
  <c r="V73" i="8"/>
  <c r="W73" i="8" s="1"/>
  <c r="V72" i="8"/>
  <c r="W72" i="8" s="1"/>
  <c r="V71" i="8"/>
  <c r="W71" i="8" s="1"/>
  <c r="V70" i="8"/>
  <c r="W70" i="8" s="1"/>
  <c r="V69" i="8"/>
  <c r="W69" i="8" s="1"/>
  <c r="V68" i="8"/>
  <c r="W68" i="8" s="1"/>
  <c r="V67" i="8"/>
  <c r="W67" i="8" s="1"/>
  <c r="V66" i="8"/>
  <c r="W66" i="8" s="1"/>
  <c r="V65" i="8"/>
  <c r="W65" i="8" s="1"/>
  <c r="V64" i="8"/>
  <c r="W64" i="8" s="1"/>
  <c r="V63" i="8"/>
  <c r="W63" i="8" s="1"/>
  <c r="V62" i="8"/>
  <c r="W62" i="8" s="1"/>
  <c r="V61" i="8"/>
  <c r="W61" i="8" s="1"/>
  <c r="V60" i="8"/>
  <c r="W60" i="8" s="1"/>
  <c r="V59" i="8"/>
  <c r="W59" i="8" s="1"/>
  <c r="V58" i="8"/>
  <c r="W58" i="8" s="1"/>
  <c r="V57" i="8"/>
  <c r="W57" i="8" s="1"/>
  <c r="V56" i="8"/>
  <c r="W56" i="8" s="1"/>
  <c r="V55" i="8"/>
  <c r="W55" i="8" s="1"/>
  <c r="V54" i="8"/>
  <c r="W54" i="8" s="1"/>
  <c r="V53" i="8"/>
  <c r="W53" i="8" s="1"/>
  <c r="V52" i="8"/>
  <c r="W52" i="8" s="1"/>
  <c r="V51" i="8"/>
  <c r="W51" i="8" s="1"/>
  <c r="V50" i="8"/>
  <c r="W50" i="8" s="1"/>
  <c r="V49" i="8"/>
  <c r="W49" i="8" s="1"/>
  <c r="V48" i="8"/>
  <c r="W48" i="8" s="1"/>
  <c r="V47" i="8"/>
  <c r="W47" i="8" s="1"/>
  <c r="V46" i="8"/>
  <c r="W46" i="8" s="1"/>
  <c r="V45" i="8"/>
  <c r="W45" i="8" s="1"/>
  <c r="V44" i="8"/>
  <c r="W44" i="8" s="1"/>
  <c r="V43" i="8"/>
  <c r="W43" i="8" s="1"/>
  <c r="V42" i="8"/>
  <c r="W42" i="8" s="1"/>
  <c r="V41" i="8"/>
  <c r="W41" i="8" s="1"/>
  <c r="V40" i="8"/>
  <c r="W40" i="8" s="1"/>
  <c r="V39" i="8"/>
  <c r="W39" i="8" s="1"/>
  <c r="V38" i="8"/>
  <c r="W38" i="8" s="1"/>
  <c r="V37" i="8"/>
  <c r="W37" i="8" s="1"/>
  <c r="V36" i="8"/>
  <c r="W36" i="8" s="1"/>
  <c r="V35" i="8"/>
  <c r="W35" i="8" s="1"/>
  <c r="V34" i="8"/>
  <c r="W34" i="8" s="1"/>
  <c r="V33" i="8"/>
  <c r="W33" i="8" s="1"/>
  <c r="V32" i="8"/>
  <c r="W32" i="8" s="1"/>
  <c r="V31" i="8"/>
  <c r="W31" i="8" s="1"/>
  <c r="V30" i="8"/>
  <c r="W30" i="8" s="1"/>
  <c r="V29" i="8"/>
  <c r="W29" i="8" s="1"/>
  <c r="V28" i="8"/>
  <c r="W28" i="8" s="1"/>
  <c r="V27" i="8"/>
  <c r="W27" i="8" s="1"/>
  <c r="V26" i="8"/>
  <c r="W26" i="8" s="1"/>
  <c r="V25" i="8"/>
  <c r="W25" i="8" s="1"/>
  <c r="V24" i="8"/>
  <c r="W24" i="8" s="1"/>
  <c r="V23" i="8"/>
  <c r="W23" i="8" s="1"/>
  <c r="V22" i="8"/>
  <c r="W22" i="8" s="1"/>
  <c r="V21" i="8"/>
  <c r="W21" i="8" s="1"/>
  <c r="V20" i="8"/>
  <c r="W20" i="8" s="1"/>
  <c r="V19" i="8"/>
  <c r="W19" i="8" s="1"/>
  <c r="V18" i="8"/>
  <c r="W18" i="8" s="1"/>
  <c r="V17" i="8"/>
  <c r="W17" i="8" s="1"/>
  <c r="V16" i="8"/>
  <c r="W16" i="8" s="1"/>
  <c r="V15" i="8"/>
  <c r="W15" i="8" s="1"/>
  <c r="V14" i="8"/>
  <c r="W14" i="8" s="1"/>
  <c r="V13" i="8"/>
  <c r="W13" i="8" s="1"/>
  <c r="V12" i="8"/>
  <c r="W12" i="8" s="1"/>
  <c r="V11" i="8"/>
  <c r="W11" i="8" s="1"/>
  <c r="V10" i="8"/>
  <c r="W10" i="8" s="1"/>
  <c r="V9" i="8"/>
  <c r="W9" i="8" s="1"/>
  <c r="V8" i="8"/>
  <c r="W8" i="8" s="1"/>
  <c r="R108" i="8"/>
  <c r="S108" i="8" s="1"/>
  <c r="R107" i="8"/>
  <c r="S107" i="8" s="1"/>
  <c r="R106" i="8"/>
  <c r="S106" i="8" s="1"/>
  <c r="R105" i="8"/>
  <c r="S105" i="8" s="1"/>
  <c r="R104" i="8"/>
  <c r="S104" i="8" s="1"/>
  <c r="R103" i="8"/>
  <c r="S103" i="8" s="1"/>
  <c r="R102" i="8"/>
  <c r="S102" i="8" s="1"/>
  <c r="R101" i="8"/>
  <c r="S101" i="8" s="1"/>
  <c r="R100" i="8"/>
  <c r="S100" i="8" s="1"/>
  <c r="R99" i="8"/>
  <c r="S99" i="8" s="1"/>
  <c r="R98" i="8"/>
  <c r="S98" i="8" s="1"/>
  <c r="R97" i="8"/>
  <c r="S97" i="8" s="1"/>
  <c r="R96" i="8"/>
  <c r="S96" i="8" s="1"/>
  <c r="R95" i="8"/>
  <c r="S95" i="8" s="1"/>
  <c r="R94" i="8"/>
  <c r="S94" i="8" s="1"/>
  <c r="R93" i="8"/>
  <c r="S93" i="8" s="1"/>
  <c r="R92" i="8"/>
  <c r="S92" i="8" s="1"/>
  <c r="R91" i="8"/>
  <c r="S91" i="8" s="1"/>
  <c r="R90" i="8"/>
  <c r="S90" i="8" s="1"/>
  <c r="R89" i="8"/>
  <c r="S89" i="8" s="1"/>
  <c r="R88" i="8"/>
  <c r="S88" i="8" s="1"/>
  <c r="R87" i="8"/>
  <c r="S87" i="8" s="1"/>
  <c r="R86" i="8"/>
  <c r="S86" i="8" s="1"/>
  <c r="R85" i="8"/>
  <c r="S85" i="8" s="1"/>
  <c r="R84" i="8"/>
  <c r="S84" i="8" s="1"/>
  <c r="R83" i="8"/>
  <c r="S83" i="8" s="1"/>
  <c r="R82" i="8"/>
  <c r="S82" i="8" s="1"/>
  <c r="R81" i="8"/>
  <c r="S81" i="8" s="1"/>
  <c r="R80" i="8"/>
  <c r="S80" i="8" s="1"/>
  <c r="R79" i="8"/>
  <c r="S79" i="8" s="1"/>
  <c r="R78" i="8"/>
  <c r="S78" i="8" s="1"/>
  <c r="R77" i="8"/>
  <c r="S77" i="8" s="1"/>
  <c r="R76" i="8"/>
  <c r="S76" i="8" s="1"/>
  <c r="R75" i="8"/>
  <c r="S75" i="8" s="1"/>
  <c r="R74" i="8"/>
  <c r="S74" i="8" s="1"/>
  <c r="R73" i="8"/>
  <c r="S73" i="8" s="1"/>
  <c r="R72" i="8"/>
  <c r="S72" i="8" s="1"/>
  <c r="R71" i="8"/>
  <c r="S71" i="8" s="1"/>
  <c r="R70" i="8"/>
  <c r="S70" i="8" s="1"/>
  <c r="R69" i="8"/>
  <c r="S69" i="8" s="1"/>
  <c r="R68" i="8"/>
  <c r="S68" i="8" s="1"/>
  <c r="R67" i="8"/>
  <c r="S67" i="8" s="1"/>
  <c r="R66" i="8"/>
  <c r="S66" i="8" s="1"/>
  <c r="R65" i="8"/>
  <c r="S65" i="8" s="1"/>
  <c r="R64" i="8"/>
  <c r="S64" i="8" s="1"/>
  <c r="R63" i="8"/>
  <c r="S63" i="8" s="1"/>
  <c r="R62" i="8"/>
  <c r="S62" i="8" s="1"/>
  <c r="R61" i="8"/>
  <c r="S61" i="8" s="1"/>
  <c r="R60" i="8"/>
  <c r="S60" i="8" s="1"/>
  <c r="R59" i="8"/>
  <c r="S59" i="8" s="1"/>
  <c r="R58" i="8"/>
  <c r="S58" i="8" s="1"/>
  <c r="R57" i="8"/>
  <c r="S57" i="8" s="1"/>
  <c r="R56" i="8"/>
  <c r="S56" i="8" s="1"/>
  <c r="R55" i="8"/>
  <c r="S55" i="8" s="1"/>
  <c r="R54" i="8"/>
  <c r="S54" i="8" s="1"/>
  <c r="R53" i="8"/>
  <c r="S53" i="8" s="1"/>
  <c r="R52" i="8"/>
  <c r="S52" i="8" s="1"/>
  <c r="R51" i="8"/>
  <c r="S51" i="8" s="1"/>
  <c r="R50" i="8"/>
  <c r="S50" i="8" s="1"/>
  <c r="R49" i="8"/>
  <c r="S49" i="8" s="1"/>
  <c r="R48" i="8"/>
  <c r="S48" i="8" s="1"/>
  <c r="R47" i="8"/>
  <c r="S47" i="8" s="1"/>
  <c r="R46" i="8"/>
  <c r="S46" i="8" s="1"/>
  <c r="R45" i="8"/>
  <c r="S45" i="8" s="1"/>
  <c r="R44" i="8"/>
  <c r="S44" i="8" s="1"/>
  <c r="R43" i="8"/>
  <c r="S43" i="8" s="1"/>
  <c r="R42" i="8"/>
  <c r="S42" i="8" s="1"/>
  <c r="R41" i="8"/>
  <c r="S41" i="8" s="1"/>
  <c r="R40" i="8"/>
  <c r="S40" i="8" s="1"/>
  <c r="R39" i="8"/>
  <c r="S39" i="8" s="1"/>
  <c r="R38" i="8"/>
  <c r="S38" i="8" s="1"/>
  <c r="R37" i="8"/>
  <c r="S37" i="8" s="1"/>
  <c r="R36" i="8"/>
  <c r="S36" i="8" s="1"/>
  <c r="R35" i="8"/>
  <c r="S35" i="8" s="1"/>
  <c r="R34" i="8"/>
  <c r="S34" i="8" s="1"/>
  <c r="R33" i="8"/>
  <c r="S33" i="8" s="1"/>
  <c r="R32" i="8"/>
  <c r="S32" i="8" s="1"/>
  <c r="R31" i="8"/>
  <c r="S31" i="8" s="1"/>
  <c r="R30" i="8"/>
  <c r="S30" i="8" s="1"/>
  <c r="R29" i="8"/>
  <c r="S29" i="8" s="1"/>
  <c r="R28" i="8"/>
  <c r="S28" i="8" s="1"/>
  <c r="R27" i="8"/>
  <c r="S27" i="8" s="1"/>
  <c r="R26" i="8"/>
  <c r="S26" i="8" s="1"/>
  <c r="R25" i="8"/>
  <c r="S25" i="8" s="1"/>
  <c r="R24" i="8"/>
  <c r="S24" i="8" s="1"/>
  <c r="R23" i="8"/>
  <c r="S23" i="8" s="1"/>
  <c r="R22" i="8"/>
  <c r="S22" i="8" s="1"/>
  <c r="R21" i="8"/>
  <c r="S21" i="8" s="1"/>
  <c r="R20" i="8"/>
  <c r="S20" i="8" s="1"/>
  <c r="R19" i="8"/>
  <c r="S19" i="8" s="1"/>
  <c r="R18" i="8"/>
  <c r="S18" i="8" s="1"/>
  <c r="R17" i="8"/>
  <c r="S17" i="8" s="1"/>
  <c r="R16" i="8"/>
  <c r="S16" i="8" s="1"/>
  <c r="R15" i="8"/>
  <c r="S15" i="8" s="1"/>
  <c r="R14" i="8"/>
  <c r="S14" i="8" s="1"/>
  <c r="R13" i="8"/>
  <c r="S13" i="8" s="1"/>
  <c r="R12" i="8"/>
  <c r="S12" i="8" s="1"/>
  <c r="R11" i="8"/>
  <c r="S11" i="8" s="1"/>
  <c r="R10" i="8"/>
  <c r="S10" i="8" s="1"/>
  <c r="R9" i="8"/>
  <c r="S9" i="8" s="1"/>
  <c r="R8" i="8"/>
  <c r="S8" i="8" s="1"/>
  <c r="N9" i="8"/>
  <c r="O9" i="8" s="1"/>
  <c r="N10" i="8"/>
  <c r="O10" i="8" s="1"/>
  <c r="N11" i="8"/>
  <c r="O11" i="8" s="1"/>
  <c r="N12" i="8"/>
  <c r="O12" i="8" s="1"/>
  <c r="N13" i="8"/>
  <c r="O13" i="8" s="1"/>
  <c r="N14" i="8"/>
  <c r="O14" i="8" s="1"/>
  <c r="N15" i="8"/>
  <c r="O15" i="8" s="1"/>
  <c r="N16" i="8"/>
  <c r="O16" i="8" s="1"/>
  <c r="N17" i="8"/>
  <c r="O17" i="8" s="1"/>
  <c r="N18" i="8"/>
  <c r="O18" i="8" s="1"/>
  <c r="N19" i="8"/>
  <c r="O19" i="8" s="1"/>
  <c r="N20" i="8"/>
  <c r="O20" i="8" s="1"/>
  <c r="N21" i="8"/>
  <c r="O21" i="8" s="1"/>
  <c r="N22" i="8"/>
  <c r="O22" i="8" s="1"/>
  <c r="N23" i="8"/>
  <c r="O23" i="8" s="1"/>
  <c r="N24" i="8"/>
  <c r="O24" i="8" s="1"/>
  <c r="N25" i="8"/>
  <c r="O25" i="8" s="1"/>
  <c r="N26" i="8"/>
  <c r="O26" i="8" s="1"/>
  <c r="N27" i="8"/>
  <c r="O27" i="8" s="1"/>
  <c r="N28" i="8"/>
  <c r="O28" i="8" s="1"/>
  <c r="N29" i="8"/>
  <c r="O29" i="8" s="1"/>
  <c r="N30" i="8"/>
  <c r="O30" i="8" s="1"/>
  <c r="N31" i="8"/>
  <c r="O31" i="8" s="1"/>
  <c r="N32" i="8"/>
  <c r="O32" i="8" s="1"/>
  <c r="N33" i="8"/>
  <c r="O33" i="8" s="1"/>
  <c r="N34" i="8"/>
  <c r="O34" i="8" s="1"/>
  <c r="N35" i="8"/>
  <c r="O35" i="8" s="1"/>
  <c r="N36" i="8"/>
  <c r="O36" i="8" s="1"/>
  <c r="N37" i="8"/>
  <c r="O37" i="8" s="1"/>
  <c r="N38" i="8"/>
  <c r="O38" i="8" s="1"/>
  <c r="N39" i="8"/>
  <c r="O39" i="8" s="1"/>
  <c r="N40" i="8"/>
  <c r="O40" i="8" s="1"/>
  <c r="N41" i="8"/>
  <c r="O41" i="8" s="1"/>
  <c r="N42" i="8"/>
  <c r="O42" i="8" s="1"/>
  <c r="N43" i="8"/>
  <c r="O43" i="8" s="1"/>
  <c r="N44" i="8"/>
  <c r="O44" i="8" s="1"/>
  <c r="N45" i="8"/>
  <c r="O45" i="8" s="1"/>
  <c r="N46" i="8"/>
  <c r="O46" i="8" s="1"/>
  <c r="N47" i="8"/>
  <c r="O47" i="8" s="1"/>
  <c r="N48" i="8"/>
  <c r="O48" i="8" s="1"/>
  <c r="N49" i="8"/>
  <c r="O49" i="8" s="1"/>
  <c r="N50" i="8"/>
  <c r="O50" i="8" s="1"/>
  <c r="N51" i="8"/>
  <c r="O51" i="8" s="1"/>
  <c r="N52" i="8"/>
  <c r="O52" i="8" s="1"/>
  <c r="N53" i="8"/>
  <c r="O53" i="8" s="1"/>
  <c r="N54" i="8"/>
  <c r="O54" i="8" s="1"/>
  <c r="N55" i="8"/>
  <c r="O55" i="8" s="1"/>
  <c r="N56" i="8"/>
  <c r="O56" i="8" s="1"/>
  <c r="N57" i="8"/>
  <c r="O57" i="8" s="1"/>
  <c r="N58" i="8"/>
  <c r="O58" i="8" s="1"/>
  <c r="N59" i="8"/>
  <c r="O59" i="8" s="1"/>
  <c r="N60" i="8"/>
  <c r="O60" i="8" s="1"/>
  <c r="N61" i="8"/>
  <c r="O61" i="8" s="1"/>
  <c r="N62" i="8"/>
  <c r="O62" i="8" s="1"/>
  <c r="N63" i="8"/>
  <c r="O63" i="8" s="1"/>
  <c r="N64" i="8"/>
  <c r="O64" i="8" s="1"/>
  <c r="N65" i="8"/>
  <c r="O65" i="8" s="1"/>
  <c r="N66" i="8"/>
  <c r="O66" i="8" s="1"/>
  <c r="N67" i="8"/>
  <c r="O67" i="8" s="1"/>
  <c r="N68" i="8"/>
  <c r="O68" i="8" s="1"/>
  <c r="N69" i="8"/>
  <c r="O69" i="8" s="1"/>
  <c r="N70" i="8"/>
  <c r="O70" i="8" s="1"/>
  <c r="N71" i="8"/>
  <c r="O71" i="8" s="1"/>
  <c r="N72" i="8"/>
  <c r="O72" i="8" s="1"/>
  <c r="N73" i="8"/>
  <c r="O73" i="8" s="1"/>
  <c r="N74" i="8"/>
  <c r="O74" i="8" s="1"/>
  <c r="N75" i="8"/>
  <c r="O75" i="8" s="1"/>
  <c r="N76" i="8"/>
  <c r="O76" i="8" s="1"/>
  <c r="N77" i="8"/>
  <c r="O77" i="8" s="1"/>
  <c r="N78" i="8"/>
  <c r="O78" i="8" s="1"/>
  <c r="N79" i="8"/>
  <c r="O79" i="8" s="1"/>
  <c r="N80" i="8"/>
  <c r="O80" i="8" s="1"/>
  <c r="N81" i="8"/>
  <c r="O81" i="8" s="1"/>
  <c r="N82" i="8"/>
  <c r="O82" i="8" s="1"/>
  <c r="N83" i="8"/>
  <c r="O83" i="8" s="1"/>
  <c r="N84" i="8"/>
  <c r="O84" i="8" s="1"/>
  <c r="N85" i="8"/>
  <c r="O85" i="8" s="1"/>
  <c r="N86" i="8"/>
  <c r="O86" i="8" s="1"/>
  <c r="N87" i="8"/>
  <c r="O87" i="8" s="1"/>
  <c r="N88" i="8"/>
  <c r="O88" i="8" s="1"/>
  <c r="N89" i="8"/>
  <c r="O89" i="8" s="1"/>
  <c r="N90" i="8"/>
  <c r="O90" i="8" s="1"/>
  <c r="N91" i="8"/>
  <c r="O91" i="8" s="1"/>
  <c r="N92" i="8"/>
  <c r="O92" i="8" s="1"/>
  <c r="N93" i="8"/>
  <c r="O93" i="8" s="1"/>
  <c r="N94" i="8"/>
  <c r="O94" i="8" s="1"/>
  <c r="N95" i="8"/>
  <c r="O95" i="8" s="1"/>
  <c r="N96" i="8"/>
  <c r="O96" i="8" s="1"/>
  <c r="N97" i="8"/>
  <c r="O97" i="8" s="1"/>
  <c r="N98" i="8"/>
  <c r="O98" i="8" s="1"/>
  <c r="N99" i="8"/>
  <c r="O99" i="8" s="1"/>
  <c r="N100" i="8"/>
  <c r="O100" i="8" s="1"/>
  <c r="N101" i="8"/>
  <c r="O101" i="8" s="1"/>
  <c r="N102" i="8"/>
  <c r="O102" i="8" s="1"/>
  <c r="N103" i="8"/>
  <c r="O103" i="8" s="1"/>
  <c r="N104" i="8"/>
  <c r="O104" i="8" s="1"/>
  <c r="N105" i="8"/>
  <c r="O105" i="8" s="1"/>
  <c r="N106" i="8"/>
  <c r="O106" i="8" s="1"/>
  <c r="N107" i="8"/>
  <c r="O107" i="8" s="1"/>
  <c r="N108" i="8"/>
  <c r="O108" i="8" s="1"/>
  <c r="N8" i="8"/>
  <c r="O8" i="8" s="1"/>
  <c r="AQ53" i="5" l="1"/>
  <c r="AR53" i="5"/>
  <c r="AQ54" i="5"/>
  <c r="AR54" i="5"/>
  <c r="AQ55" i="5"/>
  <c r="AR55" i="5"/>
  <c r="AQ56" i="5"/>
  <c r="AR56" i="5"/>
  <c r="AR52" i="5"/>
  <c r="AQ52" i="5"/>
  <c r="AQ45" i="5" l="1"/>
  <c r="AR45" i="5"/>
  <c r="AQ46" i="5"/>
  <c r="AR46" i="5"/>
  <c r="AQ47" i="5"/>
  <c r="AR47" i="5"/>
  <c r="AR44" i="5"/>
  <c r="AQ44" i="5"/>
  <c r="AA60" i="5"/>
  <c r="AB60" i="5"/>
  <c r="AA61" i="5"/>
  <c r="AB61" i="5"/>
  <c r="AA62" i="5"/>
  <c r="AB62" i="5"/>
  <c r="AA63" i="5"/>
  <c r="AB63" i="5"/>
  <c r="AB59" i="5"/>
  <c r="AA59" i="5"/>
  <c r="AI50" i="5" l="1"/>
  <c r="AJ50" i="5"/>
  <c r="AK50" i="5"/>
  <c r="AI51" i="5"/>
  <c r="AJ51" i="5"/>
  <c r="AK51" i="5"/>
  <c r="AI52" i="5"/>
  <c r="AJ52" i="5"/>
  <c r="AK52" i="5"/>
  <c r="AI53" i="5"/>
  <c r="AJ53" i="5"/>
  <c r="AK53" i="5"/>
  <c r="AJ49" i="5"/>
  <c r="AK49" i="5"/>
  <c r="AI49" i="5"/>
  <c r="AA55" i="5"/>
  <c r="AB55" i="5"/>
  <c r="AA56" i="5"/>
  <c r="AB56" i="5"/>
  <c r="AA57" i="5"/>
  <c r="AB57" i="5"/>
  <c r="AA58" i="5"/>
  <c r="AB58" i="5"/>
  <c r="AB54" i="5"/>
  <c r="AA54" i="5"/>
  <c r="AA50" i="5"/>
  <c r="AB50" i="5"/>
  <c r="AA51" i="5"/>
  <c r="AB51" i="5"/>
  <c r="AA52" i="5"/>
  <c r="AB52" i="5"/>
  <c r="AA53" i="5"/>
  <c r="AB53" i="5"/>
  <c r="AB49" i="5"/>
  <c r="AA49" i="5"/>
  <c r="AA45" i="5" l="1"/>
  <c r="AB45" i="5"/>
  <c r="AA46" i="5"/>
  <c r="AB46" i="5"/>
  <c r="AA47" i="5"/>
  <c r="AB47" i="5"/>
  <c r="AA48" i="5"/>
  <c r="AB48" i="5"/>
  <c r="AB44" i="5"/>
  <c r="AA44" i="5"/>
  <c r="K45" i="5"/>
  <c r="L45" i="5"/>
  <c r="M45" i="5"/>
  <c r="K46" i="5"/>
  <c r="L46" i="5"/>
  <c r="M46" i="5"/>
  <c r="K47" i="5"/>
  <c r="L47" i="5"/>
  <c r="M47" i="5"/>
  <c r="K48" i="5"/>
  <c r="AL53" i="5" s="1"/>
  <c r="L48" i="5"/>
  <c r="M48" i="5"/>
  <c r="L44" i="5"/>
  <c r="AM49" i="5" s="1"/>
  <c r="M44" i="5"/>
  <c r="K44" i="5"/>
  <c r="AY45" i="5"/>
  <c r="AZ45" i="5"/>
  <c r="AY46" i="5"/>
  <c r="AZ46" i="5"/>
  <c r="AY47" i="5"/>
  <c r="AZ47" i="5"/>
  <c r="AZ44" i="5"/>
  <c r="AY44" i="5"/>
  <c r="AI45" i="5"/>
  <c r="AJ45" i="5"/>
  <c r="AK45" i="5"/>
  <c r="AI46" i="5"/>
  <c r="AJ46" i="5"/>
  <c r="AK46" i="5"/>
  <c r="AI47" i="5"/>
  <c r="AJ47" i="5"/>
  <c r="AK47" i="5"/>
  <c r="AI48" i="5"/>
  <c r="AJ48" i="5"/>
  <c r="AK48" i="5"/>
  <c r="AJ44" i="5"/>
  <c r="AK44" i="5"/>
  <c r="AI44" i="5"/>
  <c r="T44" i="5"/>
  <c r="S44" i="5"/>
  <c r="AM48" i="5" l="1"/>
  <c r="AL48" i="5"/>
  <c r="AL50" i="5"/>
  <c r="AM50" i="5"/>
  <c r="AM45" i="5"/>
  <c r="AM55" i="5"/>
  <c r="BK55" i="5"/>
  <c r="BJ55" i="5"/>
  <c r="AL55" i="5"/>
  <c r="AM44" i="5"/>
  <c r="AL45" i="5"/>
  <c r="AM58" i="5"/>
  <c r="BK58" i="5"/>
  <c r="AM53" i="5"/>
  <c r="AL58" i="5"/>
  <c r="BJ58" i="5"/>
  <c r="AM57" i="5"/>
  <c r="BK57" i="5"/>
  <c r="AM47" i="5"/>
  <c r="AM52" i="5"/>
  <c r="BJ57" i="5"/>
  <c r="AL57" i="5"/>
  <c r="AL52" i="5"/>
  <c r="AL47" i="5"/>
  <c r="BK56" i="5"/>
  <c r="AM56" i="5"/>
  <c r="AM46" i="5"/>
  <c r="AM51" i="5"/>
  <c r="BJ56" i="5"/>
  <c r="AL56" i="5"/>
  <c r="AL46" i="5"/>
  <c r="AL51" i="5"/>
  <c r="AM54" i="5"/>
  <c r="BK54" i="5"/>
  <c r="AL54" i="5"/>
  <c r="BJ54" i="5"/>
  <c r="AL44" i="5"/>
  <c r="AL49" i="5"/>
  <c r="BF58" i="5"/>
  <c r="BF57" i="5"/>
  <c r="BF56" i="5"/>
  <c r="BF55" i="5"/>
  <c r="BF54" i="5"/>
  <c r="Z63" i="5"/>
  <c r="Z62" i="5"/>
  <c r="Z61" i="5"/>
  <c r="Z60" i="5"/>
  <c r="Z59" i="5"/>
  <c r="Z58" i="5"/>
  <c r="Z57" i="5"/>
  <c r="Z56" i="5"/>
  <c r="Z55" i="5"/>
  <c r="Z54" i="5"/>
  <c r="AX58" i="5"/>
  <c r="AX57" i="5"/>
  <c r="AX56" i="5"/>
  <c r="AX55" i="5"/>
  <c r="AX54" i="5"/>
  <c r="AX53" i="5"/>
  <c r="AX52" i="5"/>
  <c r="AX51" i="5"/>
  <c r="AX50" i="5"/>
  <c r="AX49" i="5"/>
  <c r="AX48" i="5"/>
  <c r="AX47" i="5"/>
  <c r="AX46" i="5"/>
  <c r="AX45" i="5"/>
  <c r="AX44" i="5"/>
  <c r="AP56" i="5"/>
  <c r="AP55" i="5"/>
  <c r="AP54" i="5"/>
  <c r="AP53" i="5"/>
  <c r="AP52" i="5"/>
  <c r="AP50" i="5"/>
  <c r="AP47" i="5"/>
  <c r="AP46" i="5"/>
  <c r="AP45" i="5"/>
  <c r="AP44" i="5"/>
  <c r="AH58" i="5"/>
  <c r="AH57" i="5"/>
  <c r="AH56" i="5"/>
  <c r="AH55" i="5"/>
  <c r="AH54" i="5"/>
  <c r="AH53" i="5"/>
  <c r="AH52" i="5"/>
  <c r="AH51" i="5"/>
  <c r="AH50" i="5"/>
  <c r="AH49" i="5"/>
  <c r="AH48" i="5"/>
  <c r="AH47" i="5"/>
  <c r="AH46" i="5"/>
  <c r="AH45" i="5"/>
  <c r="AH44" i="5"/>
  <c r="Z53" i="5"/>
  <c r="Z52" i="5"/>
  <c r="Z51" i="5"/>
  <c r="Z50" i="5"/>
  <c r="Z49" i="5"/>
  <c r="Z48" i="5"/>
  <c r="Z47" i="5"/>
  <c r="Z46" i="5"/>
  <c r="Z45" i="5"/>
  <c r="Z44" i="5"/>
  <c r="J48" i="5"/>
  <c r="J47" i="5"/>
  <c r="J46" i="5"/>
  <c r="J45" i="5"/>
  <c r="J44" i="5"/>
  <c r="R58" i="5"/>
  <c r="R57" i="5"/>
  <c r="R56" i="5"/>
  <c r="R55" i="5"/>
  <c r="R54" i="5"/>
  <c r="AY131" i="5" l="1"/>
  <c r="AY132" i="5"/>
  <c r="AY133" i="5"/>
  <c r="AY134" i="5"/>
  <c r="AO132" i="5" l="1"/>
  <c r="AO133" i="5"/>
  <c r="AO134" i="5"/>
  <c r="AO135" i="5"/>
  <c r="AO136" i="5"/>
  <c r="AO137" i="5"/>
  <c r="AO138" i="5"/>
  <c r="AO139" i="5"/>
  <c r="AO140" i="5"/>
  <c r="AO141" i="5"/>
  <c r="AO142" i="5"/>
  <c r="AO131" i="5"/>
  <c r="AT132" i="5"/>
  <c r="AT133" i="5"/>
  <c r="AT134" i="5"/>
  <c r="AT135" i="5"/>
  <c r="AT136" i="5"/>
  <c r="AT137" i="5"/>
  <c r="AT138" i="5"/>
  <c r="AT139" i="5"/>
  <c r="AT140" i="5"/>
  <c r="AT141" i="5"/>
  <c r="AT131" i="5"/>
  <c r="AJ132" i="5"/>
  <c r="AJ133" i="5"/>
  <c r="AJ134" i="5"/>
  <c r="AJ135" i="5"/>
  <c r="AJ136" i="5"/>
  <c r="AJ137" i="5"/>
  <c r="AJ138" i="5"/>
  <c r="AJ139" i="5"/>
  <c r="AJ140" i="5"/>
  <c r="AJ141" i="5"/>
  <c r="AJ142" i="5"/>
  <c r="AJ143" i="5"/>
  <c r="AJ144" i="5"/>
  <c r="AJ145" i="5"/>
  <c r="AJ146" i="5"/>
  <c r="AJ131" i="5"/>
  <c r="AE132" i="5"/>
  <c r="AE133" i="5"/>
  <c r="AE134" i="5"/>
  <c r="AE135" i="5"/>
  <c r="AE131" i="5"/>
  <c r="X132" i="5"/>
  <c r="X133" i="5"/>
  <c r="X134" i="5"/>
  <c r="X135" i="5"/>
  <c r="X136" i="5"/>
  <c r="X137" i="5"/>
  <c r="X138" i="5"/>
  <c r="X139" i="5"/>
  <c r="X140" i="5"/>
  <c r="X141" i="5"/>
  <c r="X142" i="5"/>
  <c r="X131" i="5"/>
  <c r="S132" i="5"/>
  <c r="S133" i="5"/>
  <c r="S134" i="5"/>
  <c r="S135" i="5"/>
  <c r="S136" i="5"/>
  <c r="S137" i="5"/>
  <c r="S138" i="5"/>
  <c r="S139" i="5"/>
  <c r="S140" i="5"/>
  <c r="S141" i="5"/>
  <c r="S142" i="5"/>
  <c r="S143" i="5"/>
  <c r="S144" i="5"/>
  <c r="S145" i="5"/>
  <c r="S131" i="5"/>
  <c r="R44" i="5" l="1"/>
  <c r="C8" i="10" l="1"/>
  <c r="F8" i="10" s="1"/>
  <c r="F14" i="10"/>
  <c r="F13" i="10"/>
  <c r="F12" i="10"/>
  <c r="F11" i="10"/>
  <c r="F10" i="10"/>
  <c r="C12" i="10"/>
  <c r="F15" i="10" l="1"/>
  <c r="F16" i="10" s="1"/>
  <c r="C15" i="10"/>
  <c r="C16" i="10" s="1"/>
  <c r="B8" i="8"/>
  <c r="C8" i="8" s="1"/>
  <c r="J108" i="8"/>
  <c r="K108" i="8" s="1"/>
  <c r="J107" i="8"/>
  <c r="K107" i="8" s="1"/>
  <c r="J106" i="8"/>
  <c r="K106" i="8" s="1"/>
  <c r="J105" i="8"/>
  <c r="K105" i="8" s="1"/>
  <c r="J104" i="8"/>
  <c r="K104" i="8" s="1"/>
  <c r="J103" i="8"/>
  <c r="K103" i="8" s="1"/>
  <c r="J102" i="8"/>
  <c r="K102" i="8" s="1"/>
  <c r="J101" i="8"/>
  <c r="K101" i="8" s="1"/>
  <c r="J100" i="8"/>
  <c r="K100" i="8" s="1"/>
  <c r="J99" i="8"/>
  <c r="K99" i="8" s="1"/>
  <c r="J98" i="8"/>
  <c r="K98" i="8" s="1"/>
  <c r="J97" i="8"/>
  <c r="K97" i="8" s="1"/>
  <c r="J96" i="8"/>
  <c r="K96" i="8" s="1"/>
  <c r="J95" i="8"/>
  <c r="K95" i="8" s="1"/>
  <c r="J94" i="8"/>
  <c r="K94" i="8" s="1"/>
  <c r="J93" i="8"/>
  <c r="K93" i="8" s="1"/>
  <c r="J92" i="8"/>
  <c r="K92" i="8" s="1"/>
  <c r="J91" i="8"/>
  <c r="K91" i="8" s="1"/>
  <c r="J90" i="8"/>
  <c r="K90" i="8" s="1"/>
  <c r="J89" i="8"/>
  <c r="K89" i="8" s="1"/>
  <c r="J88" i="8"/>
  <c r="K88" i="8" s="1"/>
  <c r="J87" i="8"/>
  <c r="K87" i="8" s="1"/>
  <c r="J86" i="8"/>
  <c r="K86" i="8" s="1"/>
  <c r="J85" i="8"/>
  <c r="K85" i="8" s="1"/>
  <c r="J84" i="8"/>
  <c r="K84" i="8" s="1"/>
  <c r="J83" i="8"/>
  <c r="K83" i="8" s="1"/>
  <c r="J82" i="8"/>
  <c r="K82" i="8" s="1"/>
  <c r="J81" i="8"/>
  <c r="K81" i="8" s="1"/>
  <c r="J80" i="8"/>
  <c r="K80" i="8" s="1"/>
  <c r="J79" i="8"/>
  <c r="K79" i="8" s="1"/>
  <c r="J78" i="8"/>
  <c r="K78" i="8" s="1"/>
  <c r="J77" i="8"/>
  <c r="K77" i="8" s="1"/>
  <c r="J76" i="8"/>
  <c r="K76" i="8" s="1"/>
  <c r="J75" i="8"/>
  <c r="K75" i="8" s="1"/>
  <c r="J74" i="8"/>
  <c r="K74" i="8" s="1"/>
  <c r="J73" i="8"/>
  <c r="K73" i="8" s="1"/>
  <c r="J72" i="8"/>
  <c r="K72" i="8" s="1"/>
  <c r="J71" i="8"/>
  <c r="K71" i="8" s="1"/>
  <c r="J70" i="8"/>
  <c r="K70" i="8" s="1"/>
  <c r="J69" i="8"/>
  <c r="K69" i="8" s="1"/>
  <c r="J68" i="8"/>
  <c r="K68" i="8" s="1"/>
  <c r="J67" i="8"/>
  <c r="K67" i="8" s="1"/>
  <c r="J66" i="8"/>
  <c r="K66" i="8" s="1"/>
  <c r="J65" i="8"/>
  <c r="K65" i="8" s="1"/>
  <c r="J64" i="8"/>
  <c r="K64" i="8" s="1"/>
  <c r="J63" i="8"/>
  <c r="K63" i="8" s="1"/>
  <c r="J62" i="8"/>
  <c r="K62" i="8" s="1"/>
  <c r="J61" i="8"/>
  <c r="K61" i="8" s="1"/>
  <c r="J60" i="8"/>
  <c r="K60" i="8" s="1"/>
  <c r="J59" i="8"/>
  <c r="K59" i="8" s="1"/>
  <c r="J58" i="8"/>
  <c r="K58" i="8" s="1"/>
  <c r="J57" i="8"/>
  <c r="K57" i="8" s="1"/>
  <c r="J56" i="8"/>
  <c r="K56" i="8" s="1"/>
  <c r="J55" i="8"/>
  <c r="K55" i="8" s="1"/>
  <c r="J54" i="8"/>
  <c r="K54" i="8" s="1"/>
  <c r="J53" i="8"/>
  <c r="K53" i="8" s="1"/>
  <c r="J52" i="8"/>
  <c r="K52" i="8" s="1"/>
  <c r="J51" i="8"/>
  <c r="K51" i="8" s="1"/>
  <c r="J50" i="8"/>
  <c r="K50" i="8" s="1"/>
  <c r="J49" i="8"/>
  <c r="K49" i="8" s="1"/>
  <c r="J48" i="8"/>
  <c r="K48" i="8" s="1"/>
  <c r="J47" i="8"/>
  <c r="K47" i="8" s="1"/>
  <c r="J46" i="8"/>
  <c r="K46" i="8" s="1"/>
  <c r="J45" i="8"/>
  <c r="K45" i="8" s="1"/>
  <c r="J44" i="8"/>
  <c r="K44" i="8" s="1"/>
  <c r="J43" i="8"/>
  <c r="K43" i="8" s="1"/>
  <c r="J42" i="8"/>
  <c r="K42" i="8" s="1"/>
  <c r="J41" i="8"/>
  <c r="K41" i="8" s="1"/>
  <c r="J40" i="8"/>
  <c r="K40" i="8" s="1"/>
  <c r="J39" i="8"/>
  <c r="K39" i="8" s="1"/>
  <c r="J38" i="8"/>
  <c r="K38" i="8" s="1"/>
  <c r="J37" i="8"/>
  <c r="K37" i="8" s="1"/>
  <c r="J36" i="8"/>
  <c r="K36" i="8" s="1"/>
  <c r="J35" i="8"/>
  <c r="K35" i="8" s="1"/>
  <c r="J34" i="8"/>
  <c r="K34" i="8" s="1"/>
  <c r="J33" i="8"/>
  <c r="K33" i="8" s="1"/>
  <c r="J32" i="8"/>
  <c r="K32" i="8" s="1"/>
  <c r="J31" i="8"/>
  <c r="K31" i="8" s="1"/>
  <c r="J30" i="8"/>
  <c r="K30" i="8" s="1"/>
  <c r="J29" i="8"/>
  <c r="K29" i="8" s="1"/>
  <c r="J28" i="8"/>
  <c r="K28" i="8" s="1"/>
  <c r="J27" i="8"/>
  <c r="K27" i="8" s="1"/>
  <c r="J26" i="8"/>
  <c r="K26" i="8" s="1"/>
  <c r="J25" i="8"/>
  <c r="K25" i="8" s="1"/>
  <c r="J24" i="8"/>
  <c r="K24" i="8" s="1"/>
  <c r="J23" i="8"/>
  <c r="K23" i="8" s="1"/>
  <c r="J22" i="8"/>
  <c r="K22" i="8" s="1"/>
  <c r="J21" i="8"/>
  <c r="K21" i="8" s="1"/>
  <c r="J20" i="8"/>
  <c r="K20" i="8" s="1"/>
  <c r="J19" i="8"/>
  <c r="K19" i="8" s="1"/>
  <c r="J18" i="8"/>
  <c r="K18" i="8" s="1"/>
  <c r="J17" i="8"/>
  <c r="K17" i="8" s="1"/>
  <c r="J16" i="8"/>
  <c r="K16" i="8" s="1"/>
  <c r="J15" i="8"/>
  <c r="K15" i="8" s="1"/>
  <c r="J14" i="8"/>
  <c r="K14" i="8" s="1"/>
  <c r="J13" i="8"/>
  <c r="K13" i="8" s="1"/>
  <c r="J12" i="8"/>
  <c r="K12" i="8" s="1"/>
  <c r="J11" i="8"/>
  <c r="K11" i="8" s="1"/>
  <c r="J10" i="8"/>
  <c r="K10" i="8" s="1"/>
  <c r="J9" i="8"/>
  <c r="K9" i="8" s="1"/>
  <c r="J8" i="8"/>
  <c r="K8" i="8" s="1"/>
  <c r="F108" i="8"/>
  <c r="G108" i="8" s="1"/>
  <c r="F107" i="8"/>
  <c r="G107" i="8" s="1"/>
  <c r="F106" i="8"/>
  <c r="G106" i="8" s="1"/>
  <c r="F105" i="8"/>
  <c r="G105" i="8" s="1"/>
  <c r="F104" i="8"/>
  <c r="G104" i="8" s="1"/>
  <c r="F103" i="8"/>
  <c r="G103" i="8" s="1"/>
  <c r="F102" i="8"/>
  <c r="G102" i="8" s="1"/>
  <c r="F101" i="8"/>
  <c r="G101" i="8" s="1"/>
  <c r="F100" i="8"/>
  <c r="G100" i="8" s="1"/>
  <c r="F99" i="8"/>
  <c r="G99" i="8" s="1"/>
  <c r="F98" i="8"/>
  <c r="G98" i="8" s="1"/>
  <c r="F97" i="8"/>
  <c r="G97" i="8" s="1"/>
  <c r="F96" i="8"/>
  <c r="G96" i="8" s="1"/>
  <c r="F95" i="8"/>
  <c r="G95" i="8" s="1"/>
  <c r="F94" i="8"/>
  <c r="G94" i="8" s="1"/>
  <c r="F93" i="8"/>
  <c r="G93" i="8" s="1"/>
  <c r="F92" i="8"/>
  <c r="G92" i="8" s="1"/>
  <c r="F91" i="8"/>
  <c r="G91" i="8" s="1"/>
  <c r="F90" i="8"/>
  <c r="G90" i="8" s="1"/>
  <c r="F89" i="8"/>
  <c r="G89" i="8" s="1"/>
  <c r="F88" i="8"/>
  <c r="G88" i="8" s="1"/>
  <c r="F87" i="8"/>
  <c r="G87" i="8" s="1"/>
  <c r="F86" i="8"/>
  <c r="G86" i="8" s="1"/>
  <c r="F85" i="8"/>
  <c r="G85" i="8" s="1"/>
  <c r="F84" i="8"/>
  <c r="G84" i="8" s="1"/>
  <c r="F83" i="8"/>
  <c r="G83" i="8" s="1"/>
  <c r="F82" i="8"/>
  <c r="G82" i="8" s="1"/>
  <c r="F81" i="8"/>
  <c r="G81" i="8" s="1"/>
  <c r="F80" i="8"/>
  <c r="G80" i="8" s="1"/>
  <c r="F79" i="8"/>
  <c r="G79" i="8" s="1"/>
  <c r="F78" i="8"/>
  <c r="G78" i="8" s="1"/>
  <c r="F77" i="8"/>
  <c r="G77" i="8" s="1"/>
  <c r="F76" i="8"/>
  <c r="G76" i="8" s="1"/>
  <c r="F75" i="8"/>
  <c r="G75" i="8" s="1"/>
  <c r="F74" i="8"/>
  <c r="G74" i="8" s="1"/>
  <c r="F73" i="8"/>
  <c r="G73" i="8" s="1"/>
  <c r="F72" i="8"/>
  <c r="G72" i="8" s="1"/>
  <c r="F71" i="8"/>
  <c r="G71" i="8" s="1"/>
  <c r="F70" i="8"/>
  <c r="G70" i="8" s="1"/>
  <c r="F69" i="8"/>
  <c r="G69" i="8" s="1"/>
  <c r="F68" i="8"/>
  <c r="G68" i="8" s="1"/>
  <c r="F67" i="8"/>
  <c r="G67" i="8" s="1"/>
  <c r="F66" i="8"/>
  <c r="G66" i="8" s="1"/>
  <c r="F65" i="8"/>
  <c r="G65" i="8" s="1"/>
  <c r="F64" i="8"/>
  <c r="G64" i="8" s="1"/>
  <c r="F63" i="8"/>
  <c r="G63" i="8" s="1"/>
  <c r="F62" i="8"/>
  <c r="G62" i="8" s="1"/>
  <c r="F61" i="8"/>
  <c r="G61" i="8" s="1"/>
  <c r="F60" i="8"/>
  <c r="G60" i="8" s="1"/>
  <c r="F59" i="8"/>
  <c r="G59" i="8" s="1"/>
  <c r="F58" i="8"/>
  <c r="G58" i="8" s="1"/>
  <c r="F57" i="8"/>
  <c r="G57" i="8" s="1"/>
  <c r="F56" i="8"/>
  <c r="G56" i="8" s="1"/>
  <c r="F55" i="8"/>
  <c r="G55" i="8" s="1"/>
  <c r="F54" i="8"/>
  <c r="G54" i="8" s="1"/>
  <c r="F53" i="8"/>
  <c r="G53" i="8" s="1"/>
  <c r="F52" i="8"/>
  <c r="G52" i="8" s="1"/>
  <c r="F51" i="8"/>
  <c r="G51" i="8" s="1"/>
  <c r="F50" i="8"/>
  <c r="G50" i="8" s="1"/>
  <c r="F49" i="8"/>
  <c r="G49" i="8" s="1"/>
  <c r="F48" i="8"/>
  <c r="G48" i="8" s="1"/>
  <c r="F47" i="8"/>
  <c r="G47" i="8" s="1"/>
  <c r="F46" i="8"/>
  <c r="G46" i="8" s="1"/>
  <c r="F45" i="8"/>
  <c r="G45" i="8" s="1"/>
  <c r="F44" i="8"/>
  <c r="G44" i="8" s="1"/>
  <c r="F43" i="8"/>
  <c r="G43" i="8" s="1"/>
  <c r="F42" i="8"/>
  <c r="G42" i="8" s="1"/>
  <c r="F41" i="8"/>
  <c r="G41" i="8" s="1"/>
  <c r="F40" i="8"/>
  <c r="G40" i="8" s="1"/>
  <c r="F39" i="8"/>
  <c r="G39" i="8" s="1"/>
  <c r="F38" i="8"/>
  <c r="G38" i="8" s="1"/>
  <c r="F37" i="8"/>
  <c r="G37" i="8" s="1"/>
  <c r="F36" i="8"/>
  <c r="G36" i="8" s="1"/>
  <c r="F35" i="8"/>
  <c r="G35" i="8" s="1"/>
  <c r="F34" i="8"/>
  <c r="G34" i="8" s="1"/>
  <c r="F33" i="8"/>
  <c r="G33" i="8" s="1"/>
  <c r="F32" i="8"/>
  <c r="G32" i="8" s="1"/>
  <c r="F31" i="8"/>
  <c r="G31" i="8" s="1"/>
  <c r="F30" i="8"/>
  <c r="G30" i="8" s="1"/>
  <c r="F29" i="8"/>
  <c r="G29" i="8" s="1"/>
  <c r="F28" i="8"/>
  <c r="G28" i="8" s="1"/>
  <c r="F27" i="8"/>
  <c r="G27" i="8" s="1"/>
  <c r="F26" i="8"/>
  <c r="G26" i="8" s="1"/>
  <c r="F25" i="8"/>
  <c r="G25" i="8" s="1"/>
  <c r="F24" i="8"/>
  <c r="G24" i="8" s="1"/>
  <c r="F23" i="8"/>
  <c r="G23" i="8" s="1"/>
  <c r="F22" i="8"/>
  <c r="G22" i="8" s="1"/>
  <c r="F21" i="8"/>
  <c r="G21" i="8" s="1"/>
  <c r="F20" i="8"/>
  <c r="G20" i="8" s="1"/>
  <c r="F19" i="8"/>
  <c r="G19" i="8" s="1"/>
  <c r="F18" i="8"/>
  <c r="G18" i="8" s="1"/>
  <c r="F17" i="8"/>
  <c r="G17" i="8" s="1"/>
  <c r="F16" i="8"/>
  <c r="G16" i="8" s="1"/>
  <c r="F15" i="8"/>
  <c r="G15" i="8" s="1"/>
  <c r="F14" i="8"/>
  <c r="G14" i="8" s="1"/>
  <c r="F13" i="8"/>
  <c r="G13" i="8" s="1"/>
  <c r="F12" i="8"/>
  <c r="G12" i="8" s="1"/>
  <c r="F11" i="8"/>
  <c r="G11" i="8" s="1"/>
  <c r="F10" i="8"/>
  <c r="G10" i="8" s="1"/>
  <c r="F9" i="8"/>
  <c r="G9" i="8" s="1"/>
  <c r="F8" i="8"/>
  <c r="G8" i="8" s="1"/>
  <c r="B9" i="8"/>
  <c r="C9" i="8" s="1"/>
  <c r="B10" i="8"/>
  <c r="C10" i="8" s="1"/>
  <c r="B11" i="8"/>
  <c r="C11" i="8" s="1"/>
  <c r="B12" i="8"/>
  <c r="C12" i="8" s="1"/>
  <c r="B13" i="8"/>
  <c r="C13" i="8" s="1"/>
  <c r="B14" i="8"/>
  <c r="C14" i="8" s="1"/>
  <c r="B15" i="8"/>
  <c r="C15" i="8" s="1"/>
  <c r="B16" i="8"/>
  <c r="C16" i="8" s="1"/>
  <c r="B17" i="8"/>
  <c r="C17" i="8" s="1"/>
  <c r="B18" i="8"/>
  <c r="C18" i="8" s="1"/>
  <c r="B19" i="8"/>
  <c r="C19" i="8" s="1"/>
  <c r="B20" i="8"/>
  <c r="C20" i="8" s="1"/>
  <c r="B21" i="8"/>
  <c r="C21" i="8" s="1"/>
  <c r="B22" i="8"/>
  <c r="C22" i="8" s="1"/>
  <c r="B23" i="8"/>
  <c r="C23" i="8" s="1"/>
  <c r="B24" i="8"/>
  <c r="C24" i="8" s="1"/>
  <c r="B25" i="8"/>
  <c r="C25" i="8" s="1"/>
  <c r="B26" i="8"/>
  <c r="C26" i="8" s="1"/>
  <c r="B27" i="8"/>
  <c r="C27" i="8" s="1"/>
  <c r="B28" i="8"/>
  <c r="C28" i="8" s="1"/>
  <c r="B29" i="8"/>
  <c r="C29" i="8" s="1"/>
  <c r="B30" i="8"/>
  <c r="C30" i="8" s="1"/>
  <c r="B31" i="8"/>
  <c r="C31" i="8" s="1"/>
  <c r="B32" i="8"/>
  <c r="C32" i="8" s="1"/>
  <c r="B33" i="8"/>
  <c r="C33" i="8" s="1"/>
  <c r="B34" i="8"/>
  <c r="C34" i="8" s="1"/>
  <c r="B35" i="8"/>
  <c r="C35" i="8" s="1"/>
  <c r="B36" i="8"/>
  <c r="C36" i="8" s="1"/>
  <c r="B37" i="8"/>
  <c r="C37" i="8" s="1"/>
  <c r="B38" i="8"/>
  <c r="C38" i="8" s="1"/>
  <c r="B39" i="8"/>
  <c r="C39" i="8" s="1"/>
  <c r="B40" i="8"/>
  <c r="C40" i="8" s="1"/>
  <c r="B41" i="8"/>
  <c r="C41" i="8" s="1"/>
  <c r="B42" i="8"/>
  <c r="C42" i="8" s="1"/>
  <c r="B43" i="8"/>
  <c r="C43" i="8" s="1"/>
  <c r="B44" i="8"/>
  <c r="C44" i="8" s="1"/>
  <c r="B45" i="8"/>
  <c r="C45" i="8" s="1"/>
  <c r="B46" i="8"/>
  <c r="C46" i="8" s="1"/>
  <c r="B47" i="8"/>
  <c r="C47" i="8" s="1"/>
  <c r="B48" i="8"/>
  <c r="C48" i="8" s="1"/>
  <c r="B49" i="8"/>
  <c r="C49" i="8" s="1"/>
  <c r="B50" i="8"/>
  <c r="C50" i="8" s="1"/>
  <c r="B51" i="8"/>
  <c r="C51" i="8" s="1"/>
  <c r="B52" i="8"/>
  <c r="C52" i="8" s="1"/>
  <c r="B53" i="8"/>
  <c r="C53" i="8" s="1"/>
  <c r="B54" i="8"/>
  <c r="C54" i="8" s="1"/>
  <c r="B55" i="8"/>
  <c r="C55" i="8" s="1"/>
  <c r="B56" i="8"/>
  <c r="C56" i="8" s="1"/>
  <c r="B57" i="8"/>
  <c r="C57" i="8" s="1"/>
  <c r="B58" i="8"/>
  <c r="C58" i="8" s="1"/>
  <c r="B59" i="8"/>
  <c r="C59" i="8" s="1"/>
  <c r="B60" i="8"/>
  <c r="C60" i="8" s="1"/>
  <c r="B61" i="8"/>
  <c r="C61" i="8" s="1"/>
  <c r="B62" i="8"/>
  <c r="C62" i="8" s="1"/>
  <c r="B63" i="8"/>
  <c r="C63" i="8" s="1"/>
  <c r="B64" i="8"/>
  <c r="C64" i="8" s="1"/>
  <c r="B65" i="8"/>
  <c r="C65" i="8" s="1"/>
  <c r="B66" i="8"/>
  <c r="C66" i="8" s="1"/>
  <c r="B67" i="8"/>
  <c r="C67" i="8" s="1"/>
  <c r="B68" i="8"/>
  <c r="C68" i="8" s="1"/>
  <c r="B69" i="8"/>
  <c r="C69" i="8" s="1"/>
  <c r="B70" i="8"/>
  <c r="C70" i="8" s="1"/>
  <c r="B71" i="8"/>
  <c r="C71" i="8" s="1"/>
  <c r="B72" i="8"/>
  <c r="C72" i="8" s="1"/>
  <c r="B73" i="8"/>
  <c r="C73" i="8" s="1"/>
  <c r="B74" i="8"/>
  <c r="C74" i="8" s="1"/>
  <c r="B75" i="8"/>
  <c r="C75" i="8" s="1"/>
  <c r="B76" i="8"/>
  <c r="C76" i="8" s="1"/>
  <c r="B77" i="8"/>
  <c r="C77" i="8" s="1"/>
  <c r="B78" i="8"/>
  <c r="C78" i="8" s="1"/>
  <c r="B79" i="8"/>
  <c r="C79" i="8" s="1"/>
  <c r="B80" i="8"/>
  <c r="C80" i="8" s="1"/>
  <c r="B81" i="8"/>
  <c r="C81" i="8" s="1"/>
  <c r="B82" i="8"/>
  <c r="C82" i="8" s="1"/>
  <c r="B83" i="8"/>
  <c r="C83" i="8" s="1"/>
  <c r="B84" i="8"/>
  <c r="C84" i="8" s="1"/>
  <c r="B85" i="8"/>
  <c r="C85" i="8" s="1"/>
  <c r="B86" i="8"/>
  <c r="C86" i="8" s="1"/>
  <c r="B87" i="8"/>
  <c r="C87" i="8" s="1"/>
  <c r="B88" i="8"/>
  <c r="C88" i="8" s="1"/>
  <c r="B89" i="8"/>
  <c r="C89" i="8" s="1"/>
  <c r="B90" i="8"/>
  <c r="C90" i="8" s="1"/>
  <c r="B91" i="8"/>
  <c r="C91" i="8" s="1"/>
  <c r="B92" i="8"/>
  <c r="C92" i="8" s="1"/>
  <c r="B93" i="8"/>
  <c r="C93" i="8" s="1"/>
  <c r="B94" i="8"/>
  <c r="C94" i="8" s="1"/>
  <c r="B95" i="8"/>
  <c r="C95" i="8" s="1"/>
  <c r="B96" i="8"/>
  <c r="C96" i="8" s="1"/>
  <c r="B97" i="8"/>
  <c r="C97" i="8" s="1"/>
  <c r="B98" i="8"/>
  <c r="C98" i="8" s="1"/>
  <c r="B99" i="8"/>
  <c r="C99" i="8" s="1"/>
  <c r="B100" i="8"/>
  <c r="C100" i="8" s="1"/>
  <c r="B101" i="8"/>
  <c r="C101" i="8" s="1"/>
  <c r="B102" i="8"/>
  <c r="C102" i="8" s="1"/>
  <c r="B103" i="8"/>
  <c r="C103" i="8" s="1"/>
  <c r="B104" i="8"/>
  <c r="C104" i="8" s="1"/>
  <c r="B105" i="8"/>
  <c r="C105" i="8" s="1"/>
  <c r="B106" i="8"/>
  <c r="C106" i="8" s="1"/>
  <c r="B107" i="8"/>
  <c r="C107" i="8" s="1"/>
  <c r="B108" i="8"/>
  <c r="C108" i="8" s="1"/>
</calcChain>
</file>

<file path=xl/sharedStrings.xml><?xml version="1.0" encoding="utf-8"?>
<sst xmlns="http://schemas.openxmlformats.org/spreadsheetml/2006/main" count="2261" uniqueCount="704">
  <si>
    <t>Folder ID</t>
  </si>
  <si>
    <t>Flux [MW/m^2]</t>
  </si>
  <si>
    <t>T_ign [K]</t>
  </si>
  <si>
    <t>Ea [kJ/mol]</t>
  </si>
  <si>
    <t>A0</t>
  </si>
  <si>
    <t>eta_ign</t>
  </si>
  <si>
    <t>n/a</t>
  </si>
  <si>
    <t>Parameters</t>
  </si>
  <si>
    <t>Results</t>
  </si>
  <si>
    <t>t_ign [ms]</t>
  </si>
  <si>
    <t>v [m/s]</t>
  </si>
  <si>
    <t>Tests-1</t>
  </si>
  <si>
    <t>Tests-2</t>
  </si>
  <si>
    <t>Tests-3</t>
  </si>
  <si>
    <t>Tests-6</t>
  </si>
  <si>
    <t>Tests-7</t>
  </si>
  <si>
    <t>Tests-8</t>
  </si>
  <si>
    <t>Tests-9</t>
  </si>
  <si>
    <t>dH-1</t>
  </si>
  <si>
    <t>dH [kJ/cm^3]</t>
  </si>
  <si>
    <t>dH-2</t>
  </si>
  <si>
    <t>Comments</t>
  </si>
  <si>
    <t>Eign-1</t>
  </si>
  <si>
    <t>Eign-2</t>
  </si>
  <si>
    <t>Eign-3</t>
  </si>
  <si>
    <t>Eign-4</t>
  </si>
  <si>
    <t>Eign-5</t>
  </si>
  <si>
    <t>Flux-1</t>
  </si>
  <si>
    <t>Flux-2</t>
  </si>
  <si>
    <t>Tign-1</t>
  </si>
  <si>
    <t>Tign-2</t>
  </si>
  <si>
    <t>Tign-3</t>
  </si>
  <si>
    <t>Tign-4</t>
  </si>
  <si>
    <t>Tign-5</t>
  </si>
  <si>
    <t>Tign-6</t>
  </si>
  <si>
    <t>Tign-7</t>
  </si>
  <si>
    <t>Max Temp [K]</t>
  </si>
  <si>
    <t>Mesh-1</t>
  </si>
  <si>
    <t>N_x</t>
  </si>
  <si>
    <t>N_y</t>
  </si>
  <si>
    <t>Reaction Zone Width (um)</t>
  </si>
  <si>
    <t>A0-1</t>
  </si>
  <si>
    <t>Div</t>
  </si>
  <si>
    <t>Material properties</t>
  </si>
  <si>
    <t>rho [kg/m^3]</t>
  </si>
  <si>
    <t>Cp [J/kg/K]</t>
  </si>
  <si>
    <t>k [W/m/K]</t>
  </si>
  <si>
    <t>dH-3</t>
  </si>
  <si>
    <t>dH-4</t>
  </si>
  <si>
    <t>dH-5</t>
  </si>
  <si>
    <t>dH-6</t>
  </si>
  <si>
    <t>Conservative formulation</t>
  </si>
  <si>
    <t>Conserv-1</t>
  </si>
  <si>
    <t>Conserv-2</t>
  </si>
  <si>
    <t>dH from Baijot 2016</t>
  </si>
  <si>
    <t>Enthalpy has units MJ/kg; From FlorinPetre 2014</t>
  </si>
  <si>
    <t>dH from Nicollet 2017</t>
  </si>
  <si>
    <t>Run time (min)</t>
  </si>
  <si>
    <t>Conserv-3</t>
  </si>
  <si>
    <t>Conserv-4</t>
  </si>
  <si>
    <t>Conserv-5</t>
  </si>
  <si>
    <t>Conserv-6</t>
  </si>
  <si>
    <t>Conserv-7</t>
  </si>
  <si>
    <t>Conserv-8</t>
  </si>
  <si>
    <t>Conserv-9</t>
  </si>
  <si>
    <t>Run time/1000 time steps (min)</t>
  </si>
  <si>
    <t>Conserv-10</t>
  </si>
  <si>
    <t>Conserv-11</t>
  </si>
  <si>
    <t>0.167 (WU)</t>
  </si>
  <si>
    <t>WW-Win10,WU-Ubuntu, L-laptop</t>
  </si>
  <si>
    <t>0.158 (WU)</t>
  </si>
  <si>
    <t>Conserv-12</t>
  </si>
  <si>
    <t>0.159 (WU)</t>
  </si>
  <si>
    <t>AlMoO3-1</t>
  </si>
  <si>
    <t>AlMoO3-2</t>
  </si>
  <si>
    <t>AlMoO3-3</t>
  </si>
  <si>
    <t>AlMoO3-4</t>
  </si>
  <si>
    <t>AlMoO3-5</t>
  </si>
  <si>
    <t>All values from from Stacy 2013; diverge at 0.032 ms because of eta</t>
  </si>
  <si>
    <t>-</t>
  </si>
  <si>
    <t>reduce k from AlMoO3-2; diverge at 0.024 ms (time step 7.9 us))</t>
  </si>
  <si>
    <t>reduce k from AlMoO3-2;</t>
  </si>
  <si>
    <t>dH,Ea from Kim 2014; Ao from Stacy 2013</t>
  </si>
  <si>
    <t>use rho_TMD instead</t>
  </si>
  <si>
    <t>dH from Kim 2014, A0 from Stacy 2013; diverge at 0.23 ms because of eta</t>
  </si>
  <si>
    <t>AlMoO3-6</t>
  </si>
  <si>
    <t>use eta ign from AlMoO3-1</t>
  </si>
  <si>
    <t>rho from Stacy 2013; rest from AlMoO3-6</t>
  </si>
  <si>
    <t>k based on mass fraction of reactants;</t>
  </si>
  <si>
    <t>AlMoO3-7</t>
  </si>
  <si>
    <t>try higher Ea;</t>
  </si>
  <si>
    <t>AlMoO3-8</t>
  </si>
  <si>
    <t>AlMoO3-9</t>
  </si>
  <si>
    <t>AlMoO3-10</t>
  </si>
  <si>
    <t>AlMoO3-11</t>
  </si>
  <si>
    <t>smaller A0 (Stacy 2013); combustion unsustainable</t>
  </si>
  <si>
    <t>dH from Kim 2014 [units of MJ/kg]; no ignition by1.22 ms, 700 K (max), 24 s^-1</t>
  </si>
  <si>
    <t>AlMoO3-12</t>
  </si>
  <si>
    <t>Higher A0 from case 8 (try and match t_ign)</t>
  </si>
  <si>
    <t>Even higher A0 from case 12</t>
  </si>
  <si>
    <t>AlMoO3-13</t>
  </si>
  <si>
    <t>AlMoO3-14</t>
  </si>
  <si>
    <t>0.15 (WU)</t>
  </si>
  <si>
    <t>Even higher A0 from case 13</t>
  </si>
  <si>
    <t>AlMoO3-15</t>
  </si>
  <si>
    <t>Based on linear changes, estimated A0 to get t_ign</t>
  </si>
  <si>
    <t>AlMoO3-16</t>
  </si>
  <si>
    <t>Conserv folder</t>
  </si>
  <si>
    <t>-AlMoO3 folder</t>
  </si>
  <si>
    <t>--Mesh folder</t>
  </si>
  <si>
    <t>8a</t>
  </si>
  <si>
    <t>11a</t>
  </si>
  <si>
    <t>8b</t>
  </si>
  <si>
    <t>AlMoO3-17</t>
  </si>
  <si>
    <t>AlMoO3-18</t>
  </si>
  <si>
    <t>9a</t>
  </si>
  <si>
    <t>1.74 (WU)</t>
  </si>
  <si>
    <t>0.64 (WU)</t>
  </si>
  <si>
    <t>AlMoO3-19</t>
  </si>
  <si>
    <t>AlMoO3-20</t>
  </si>
  <si>
    <t>--A0 folder</t>
  </si>
  <si>
    <t>Try higher A0 with mid mesh;</t>
  </si>
  <si>
    <t>Reaction Rate peak (s^-1)</t>
  </si>
  <si>
    <t>0.66 (WW)</t>
  </si>
  <si>
    <t>0.71 (WW)</t>
  </si>
  <si>
    <t>0.63 (WW)</t>
  </si>
  <si>
    <t>-AlCuO folder</t>
  </si>
  <si>
    <t>AlCuO-1</t>
  </si>
  <si>
    <t>60% porosity of rho_TMD, average Cp and k, same Ea as Kim model, pre-exp from Umbrajkar, dH from FlorinPetre/Baijot</t>
  </si>
  <si>
    <t>AlCuO-2</t>
  </si>
  <si>
    <t>0.84 (WW)</t>
  </si>
  <si>
    <t>0.85 (WW)</t>
  </si>
  <si>
    <t>0.8 (WW)</t>
  </si>
  <si>
    <t>Weird results</t>
  </si>
  <si>
    <t>0.89 (WU)</t>
  </si>
  <si>
    <t>2D Planar Conduction</t>
  </si>
  <si>
    <t>Axisymmetric</t>
  </si>
  <si>
    <t>RED-kJ/g or MJ/kg</t>
  </si>
  <si>
    <t>0.20 (WW)</t>
  </si>
  <si>
    <t>No ignition 1.6 ms, 780 K</t>
  </si>
  <si>
    <t>0.23 (WW)</t>
  </si>
  <si>
    <t>No ignition 1.6 ms, 960 K</t>
  </si>
  <si>
    <t>0.27 (WW)</t>
  </si>
  <si>
    <t>◘</t>
  </si>
  <si>
    <t>2D Planar w/ variable eta (First runs)</t>
  </si>
  <si>
    <t>dH [MJ/kg]</t>
  </si>
  <si>
    <t>RED-kJ/cm^3</t>
  </si>
  <si>
    <t>Fully compact pellet</t>
  </si>
  <si>
    <t>-Axi</t>
  </si>
  <si>
    <t>eta</t>
  </si>
  <si>
    <t>Rank 4 min</t>
  </si>
  <si>
    <t>Rank 4 max</t>
  </si>
  <si>
    <t>Rank 5 min</t>
  </si>
  <si>
    <t>Rank 5 max</t>
  </si>
  <si>
    <t>formula</t>
  </si>
  <si>
    <t>(E_kim+fl)/E_kim</t>
  </si>
  <si>
    <t>fl=cond</t>
  </si>
  <si>
    <t>fl=abs(cond)</t>
  </si>
  <si>
    <t>(E_kim+fl)/fl</t>
  </si>
  <si>
    <t>All others normalized to 1?</t>
  </si>
  <si>
    <t>Y</t>
  </si>
  <si>
    <t>N</t>
  </si>
  <si>
    <t>fl=cond+BCs</t>
  </si>
  <si>
    <t>fl=abs(cond+BCs)</t>
  </si>
  <si>
    <t>Ea</t>
  </si>
  <si>
    <t>deta</t>
  </si>
  <si>
    <t>q'''</t>
  </si>
  <si>
    <t>dH</t>
  </si>
  <si>
    <t>T=</t>
  </si>
  <si>
    <t>rho</t>
  </si>
  <si>
    <t>Q_source&gt;Q_cond testing</t>
  </si>
  <si>
    <t>Q_laser</t>
  </si>
  <si>
    <t>Q_Cond mult</t>
  </si>
  <si>
    <t>mx</t>
  </si>
  <si>
    <t>t_ign</t>
  </si>
  <si>
    <t>v_ign</t>
  </si>
  <si>
    <t>true ign?</t>
  </si>
  <si>
    <t>~0.07</t>
  </si>
  <si>
    <t>2,3,4</t>
  </si>
  <si>
    <t>12,13,14</t>
  </si>
  <si>
    <t>6,10</t>
  </si>
  <si>
    <t>Processed</t>
  </si>
  <si>
    <t>12,13</t>
  </si>
  <si>
    <t>~0.071</t>
  </si>
  <si>
    <t>?</t>
  </si>
  <si>
    <t>[New ignition criteria, burn rate down r=0]</t>
  </si>
  <si>
    <t>eta,601,998</t>
  </si>
  <si>
    <t>--heating</t>
  </si>
  <si>
    <t>Very low heating rate; capture temperature profile</t>
  </si>
  <si>
    <t>0.058 (6)</t>
  </si>
  <si>
    <t>Flux from Florin, new ignition condition</t>
  </si>
  <si>
    <t>0.038 (6)</t>
  </si>
  <si>
    <t>Lower flux</t>
  </si>
  <si>
    <t>Ign temp</t>
  </si>
  <si>
    <t>Very low flux</t>
  </si>
  <si>
    <t>mult</t>
  </si>
  <si>
    <t>num</t>
  </si>
  <si>
    <t>0.034 (6)</t>
  </si>
  <si>
    <t>Florin flux with higher k</t>
  </si>
  <si>
    <t>0.060 (6)</t>
  </si>
  <si>
    <t>Florin flux with even higher k</t>
  </si>
  <si>
    <t>Al/CuO composite;</t>
  </si>
  <si>
    <t>0.082 (6)</t>
  </si>
  <si>
    <t>CuO thermal properties;</t>
  </si>
  <si>
    <t>0.064 (6)</t>
  </si>
  <si>
    <t>--geom</t>
  </si>
  <si>
    <t>0.022 (6)</t>
  </si>
  <si>
    <t>higher flux; flip dimensions</t>
  </si>
  <si>
    <t>0.027 (6)</t>
  </si>
  <si>
    <t>0.029 (6)</t>
  </si>
  <si>
    <t>0.021 (6)</t>
  </si>
  <si>
    <t>Low flux, same effective power as 1 (BC diff); geom of 1;</t>
  </si>
  <si>
    <t>3 mm diam, 1 mm len; same CV sizes; laser spot 0.4 mm diam</t>
  </si>
  <si>
    <t>higher flux; laser spot of 0.4 mm diam;</t>
  </si>
  <si>
    <t>0.056 (6)</t>
  </si>
  <si>
    <t>3 mm x 3mm domain; laser spot 0.2mm diam; 0.1 mm will not ignite by 50 ms</t>
  </si>
  <si>
    <t>eta,600,1000</t>
  </si>
  <si>
    <t>0.073 (6)</t>
  </si>
  <si>
    <t>0.074 (6)</t>
  </si>
  <si>
    <t>Lower enthalpy; get almost Tad</t>
  </si>
  <si>
    <t>0.075 (6)</t>
  </si>
  <si>
    <t>Lower flux, still same contour creep rate</t>
  </si>
  <si>
    <t>Radiation BC only; no ign by 6 ms</t>
  </si>
  <si>
    <t>0.072 (6)</t>
  </si>
  <si>
    <t>Flux over entire north boundary; perfectly uniform wave</t>
  </si>
  <si>
    <t>0.071 (6)</t>
  </si>
  <si>
    <t>Try temperature ignition; none if 800, but good if 1000</t>
  </si>
  <si>
    <t>Original ign, h=300 on right boundary; no change in corner temp</t>
  </si>
  <si>
    <t>h=3000 on right boundary; no change in corner temp</t>
  </si>
  <si>
    <t>--AlMoO3</t>
  </si>
  <si>
    <t>--AlCuO</t>
  </si>
  <si>
    <t>Al thermal properties;</t>
  </si>
  <si>
    <t>--Al</t>
  </si>
  <si>
    <t>Flipped dimensions of 1</t>
  </si>
  <si>
    <t>--noSource</t>
  </si>
  <si>
    <t>Temperature profile evolution; to 0.5 s</t>
  </si>
  <si>
    <t>Laser heating 0.2mm from edge</t>
  </si>
  <si>
    <t>Laser heating 0.05 mm from edge</t>
  </si>
  <si>
    <t>Laser heating 0.05 mm from edge; higher flux; instabilities</t>
  </si>
  <si>
    <t>-Species</t>
  </si>
  <si>
    <t>perm</t>
  </si>
  <si>
    <t>mu</t>
  </si>
  <si>
    <t>Not true ignition</t>
  </si>
  <si>
    <t>No ignition by 0.3ms</t>
  </si>
  <si>
    <t>Heating flux on top boundary only</t>
  </si>
  <si>
    <t>0.062 (6)</t>
  </si>
  <si>
    <t>Heating flux on top and right boundaries; corner ign, instabilities</t>
  </si>
  <si>
    <t>--BCs</t>
  </si>
  <si>
    <t>--lambda</t>
  </si>
  <si>
    <t>[spatial]</t>
  </si>
  <si>
    <t>k=100 at edges, k=20 elsewhere</t>
  </si>
  <si>
    <t>k=100 on top and side; k=20 elsewhere</t>
  </si>
  <si>
    <t>k=150 on top, 80 on side, 20 elsewhere</t>
  </si>
  <si>
    <t>Stacy Folder</t>
  </si>
  <si>
    <t>alpha=1.38H^2/(pi^2*t_50)</t>
  </si>
  <si>
    <t>k=alpha*Cp*rho; 0.2 to 1</t>
  </si>
  <si>
    <t>2mm long, 2.35 mm radius, radiation BCs 0.8, 300</t>
  </si>
  <si>
    <t>Free convection:</t>
  </si>
  <si>
    <t>Vertical</t>
  </si>
  <si>
    <t>Horizontal</t>
  </si>
  <si>
    <t>g</t>
  </si>
  <si>
    <t>beta</t>
  </si>
  <si>
    <t>L</t>
  </si>
  <si>
    <t>Ts-T_inf</t>
  </si>
  <si>
    <t>nu</t>
  </si>
  <si>
    <t>alpha</t>
  </si>
  <si>
    <t>k_air</t>
  </si>
  <si>
    <t>Pr</t>
  </si>
  <si>
    <t>Ra=</t>
  </si>
  <si>
    <t>h_avg=</t>
  </si>
  <si>
    <t>Laser BC: 1 J/10ms*0.75=75 W; spot size ~5 mm diam=&gt; 3.82e6W/m^2; absorption 0.3 to 0.56</t>
  </si>
  <si>
    <t>rho: 1070 to 2500</t>
  </si>
  <si>
    <t>80% active Al=&gt; Cp=875</t>
  </si>
  <si>
    <t>alpha=0.4, rho=1500</t>
  </si>
  <si>
    <t>case 4 with k=1</t>
  </si>
  <si>
    <t>Plane Heat transfer, 300-600 K or 0 flux BCs</t>
  </si>
  <si>
    <t>Axisymmetric with uniform heat generation, 300 K outside BC</t>
  </si>
  <si>
    <t>Plane wall version of case 2</t>
  </si>
  <si>
    <t>geom-Case 2</t>
  </si>
  <si>
    <t>0.026 (6)</t>
  </si>
  <si>
    <t>Benchmarking cases</t>
  </si>
  <si>
    <t>part_diam</t>
  </si>
  <si>
    <t>Porosity=0.01</t>
  </si>
  <si>
    <t>0.038 (4)</t>
  </si>
  <si>
    <t>0,5109</t>
  </si>
  <si>
    <t>[update Nov 15/19]</t>
  </si>
  <si>
    <t>Porosity=0.4</t>
  </si>
  <si>
    <t>Time step</t>
  </si>
  <si>
    <t>Total time</t>
  </si>
  <si>
    <t>Porosity=0.9; wave at end of domain</t>
  </si>
  <si>
    <t>-Stats</t>
  </si>
  <si>
    <t>2a</t>
  </si>
  <si>
    <t>2b</t>
  </si>
  <si>
    <t>2c</t>
  </si>
  <si>
    <t>0.023 (1)</t>
  </si>
  <si>
    <t>0.013 (3)</t>
  </si>
  <si>
    <t>0.014 (4)</t>
  </si>
  <si>
    <t>2d</t>
  </si>
  <si>
    <t>0.013 (5)</t>
  </si>
  <si>
    <t>2e</t>
  </si>
  <si>
    <t>0.039 (4)</t>
  </si>
  <si>
    <t>0.012 (6)</t>
  </si>
  <si>
    <t>Case 9 with higher permeability, final time step 10^-11</t>
  </si>
  <si>
    <t>[update Nov 25/19]</t>
  </si>
  <si>
    <t>1a</t>
  </si>
  <si>
    <t>Time step size</t>
  </si>
  <si>
    <t>Case 1 with updated code, Cp=998, Cv_g=f(air,T,1000), gas_gen=0.8</t>
  </si>
  <si>
    <t>nano\40nm_gasgen\6 gas from 1D, P=0 BC; some sort of divergence half way through pellet</t>
  </si>
  <si>
    <t>--nano (from nano-Axi folder)</t>
  </si>
  <si>
    <t>--comp</t>
  </si>
  <si>
    <t>--CuO</t>
  </si>
  <si>
    <t>case 2 with larger time step</t>
  </si>
  <si>
    <t>Planar</t>
  </si>
  <si>
    <t>Species case 2 with planar geometry (need to double x direction)</t>
  </si>
  <si>
    <t>0.315 (6)</t>
  </si>
  <si>
    <t>40nm\1</t>
  </si>
  <si>
    <t>40nm\2</t>
  </si>
  <si>
    <t>40nm\3</t>
  </si>
  <si>
    <t>40nm\4</t>
  </si>
  <si>
    <t>40nm\5</t>
  </si>
  <si>
    <t>200,0.02</t>
  </si>
  <si>
    <t>Species/2 case with Geometric therm cond model, porosity=0.4</t>
  </si>
  <si>
    <t>case 3 with parallel therm cond model;</t>
  </si>
  <si>
    <t>Porosity</t>
  </si>
  <si>
    <t>Cv_s [J/kg/K]</t>
  </si>
  <si>
    <t>Cv_g [J/kg/K]</t>
  </si>
  <si>
    <t>air(1000K)</t>
  </si>
  <si>
    <t>0.143 (6)</t>
  </si>
  <si>
    <t>0.160 (6)</t>
  </si>
  <si>
    <t>0.167 (6)</t>
  </si>
  <si>
    <t>1um\1</t>
  </si>
  <si>
    <t>1um\2</t>
  </si>
  <si>
    <t>1um\3</t>
  </si>
  <si>
    <t>1um\4</t>
  </si>
  <si>
    <t>1um\5</t>
  </si>
  <si>
    <t>nano</t>
  </si>
  <si>
    <t>-lambda</t>
  </si>
  <si>
    <t>0.01,65</t>
  </si>
  <si>
    <t>Al2O3 (2400K)</t>
  </si>
  <si>
    <t>0.148 (6)</t>
  </si>
  <si>
    <t>Cu(3000K)</t>
  </si>
  <si>
    <t>0.161 (6)</t>
  </si>
  <si>
    <t>40nm\5a</t>
  </si>
  <si>
    <t>0,5214</t>
  </si>
  <si>
    <t>Full enthalpy, Tad should be 3200 K</t>
  </si>
  <si>
    <t>-NiO (gas_gen=0.0063)</t>
  </si>
  <si>
    <t>eta,651,1294</t>
  </si>
  <si>
    <t>Copper; const. porosity</t>
  </si>
  <si>
    <t>Same s and g states, Cp=998, gas_gen=0.343, const porosity</t>
  </si>
  <si>
    <t>15um\5</t>
  </si>
  <si>
    <t>nano\Axi\2 with P=0 BCs; unsure where case files went</t>
  </si>
  <si>
    <t>nano\base\40nm\5 case with no P BC on top, P=0 on others</t>
  </si>
  <si>
    <t>nano\base\40nm\5 case with no P on top, dP=0 on all except bottom,</t>
  </si>
  <si>
    <t>1D case nano\40nm\6 with dP=0 on all boundaries, laser heating over all top; try to replicate</t>
  </si>
  <si>
    <t>0.0645 (6)</t>
  </si>
  <si>
    <t>0.066 (6)</t>
  </si>
  <si>
    <t>0.028 (6)</t>
  </si>
  <si>
    <t>Axi Heat model, Kim source, laser heating over whole top, 0 flux left/right BCs</t>
  </si>
  <si>
    <t>nano\Axi graphs</t>
  </si>
  <si>
    <t>d_c</t>
  </si>
  <si>
    <t>phi</t>
  </si>
  <si>
    <t>v_cw</t>
  </si>
  <si>
    <t>40nm</t>
  </si>
  <si>
    <t>%TMD</t>
  </si>
  <si>
    <t>1um</t>
  </si>
  <si>
    <t>Conserv folder graphs (really old)</t>
  </si>
  <si>
    <t>--1D</t>
  </si>
  <si>
    <t>1D case nano\40nm\3 with dP=0 on all boundaries, laser over whole top</t>
  </si>
  <si>
    <t>Experimental points</t>
  </si>
  <si>
    <t>Reference</t>
  </si>
  <si>
    <t>Saceleanu2018</t>
  </si>
  <si>
    <t>ER</t>
  </si>
  <si>
    <t>Notes</t>
  </si>
  <si>
    <t>Weismiller2009</t>
  </si>
  <si>
    <t>FlorinPetre2014</t>
  </si>
  <si>
    <t>Dean2010</t>
  </si>
  <si>
    <t>1b</t>
  </si>
  <si>
    <t>Case 1 with planar geometry</t>
  </si>
  <si>
    <t>avg</t>
  </si>
  <si>
    <t>Peak v [m/s]</t>
  </si>
  <si>
    <t>Need to re-run from ign to get better v</t>
  </si>
  <si>
    <t>0.149 (6)</t>
  </si>
  <si>
    <t>0.155 (6)</t>
  </si>
  <si>
    <t>Peak after wave hits corner, couldn't see instabilities</t>
  </si>
  <si>
    <t>0.157 (6)</t>
  </si>
  <si>
    <t>0.162 (6)</t>
  </si>
  <si>
    <t>0.153 (6)</t>
  </si>
  <si>
    <t>wave half through; little rho_g movement</t>
  </si>
  <si>
    <t>little rho_g movement</t>
  </si>
  <si>
    <t>0.150 (6)</t>
  </si>
  <si>
    <t>0.152 (6)</t>
  </si>
  <si>
    <t>wave overshot, rho_g movement/pressure contours, strange flame front</t>
  </si>
  <si>
    <t>wave overshot, rho_g movement/pressure contours, flame front level</t>
  </si>
  <si>
    <t>avg v</t>
  </si>
  <si>
    <t>peak v</t>
  </si>
  <si>
    <t>argon</t>
  </si>
  <si>
    <t>Burn rates as function of time</t>
  </si>
  <si>
    <t>v_inst</t>
  </si>
  <si>
    <t>v_avg</t>
  </si>
  <si>
    <t>t [ms]</t>
  </si>
  <si>
    <t>v_inst [m/s]</t>
  </si>
  <si>
    <t>t [-]</t>
  </si>
  <si>
    <t>0.069 (6)</t>
  </si>
  <si>
    <t>Case 1 with no P condition on left/right boundaries; same as case 1</t>
  </si>
  <si>
    <t>100 thermal cond</t>
  </si>
  <si>
    <t>Peak at end; rho_g movement/pressure contours</t>
  </si>
  <si>
    <t>checkerboard pressure at wave,</t>
  </si>
  <si>
    <t>0.151 (6)</t>
  </si>
  <si>
    <t>0.158 (6)</t>
  </si>
  <si>
    <t>40nm\5_1</t>
  </si>
  <si>
    <t>40nm\5b</t>
  </si>
  <si>
    <t>1,1</t>
  </si>
  <si>
    <t>case 5b with 10,15 ign</t>
  </si>
  <si>
    <t>Geometric thermal cond model; weird behaviour with 10,15 ign; same with 20,15</t>
  </si>
  <si>
    <t>40nm\5b_a</t>
  </si>
  <si>
    <t>40nm\5_a</t>
  </si>
  <si>
    <t>Peak when wave hits corner and turns down; negative pressures</t>
  </si>
  <si>
    <t>Peak when wave hits corner, velocities and rho_g have instabilities; negative pressures</t>
  </si>
  <si>
    <t>Above with larger mesh; same discontinuity, different nature</t>
  </si>
  <si>
    <t>40nm\5b_b</t>
  </si>
  <si>
    <t>7a</t>
  </si>
  <si>
    <t>case 7 with Arrhenius term; still nothing</t>
  </si>
  <si>
    <t>1 thermal cond; flux BC smaller</t>
  </si>
  <si>
    <t>Case 5b_a without removing flux (10,600 ign), flux proper;</t>
  </si>
  <si>
    <t>Case 5 with flux over most of top surface; same patterns and instabilities</t>
  </si>
  <si>
    <t>0.120 (6)</t>
  </si>
  <si>
    <t>40nm\5_b</t>
  </si>
  <si>
    <t>0.154 (6)</t>
  </si>
  <si>
    <t>nano\base\1um\5 case with dP=0 BCs on top, P=0 on others; slower BR</t>
  </si>
  <si>
    <t>nano\lambda\40nm\5_a case in heat mode; nothing weird</t>
  </si>
  <si>
    <t>40nm\5b_c</t>
  </si>
  <si>
    <t>case 5b_a with no permeability;</t>
  </si>
  <si>
    <t>Case 5 with Cp(air at 1000 K); less weird behaviour</t>
  </si>
  <si>
    <t>O2 (T)</t>
  </si>
  <si>
    <t>0.171 (6)</t>
  </si>
  <si>
    <t>lambda\40nm\5 using O2 (T); some discontinuity developing</t>
  </si>
  <si>
    <t>lambda\40nm\5b using O2 (T)</t>
  </si>
  <si>
    <t>lambda\40nm\5a using O2 (T)</t>
  </si>
  <si>
    <t>0.184 (6)</t>
  </si>
  <si>
    <t>case 5b with higher therm cond; no weird behaviour; ignition before 0.176</t>
  </si>
  <si>
    <t>Case 5 in planar domain</t>
  </si>
  <si>
    <t>0.163 (6)</t>
  </si>
  <si>
    <t>-conv</t>
  </si>
  <si>
    <t>1.33,5109</t>
  </si>
  <si>
    <t>O2 (293 K)</t>
  </si>
  <si>
    <t>Case 1 with constant O2 spec heat, apply heat for 0.05ms, then remove;</t>
  </si>
  <si>
    <t>Hack to look at convective term, apply heat for 0.05ms then remove, corner problem with Pressure;</t>
  </si>
  <si>
    <t>Case 2 with Cv=Cp=918; very little difference wrt case 2</t>
  </si>
  <si>
    <t>2043, 3065</t>
  </si>
  <si>
    <t>Case 2 with Cv=Cp=918, even density of each phase; UNABLE TO RUN</t>
  </si>
  <si>
    <t>--alumina</t>
  </si>
  <si>
    <t>alumina (2400 K) for gas state</t>
  </si>
  <si>
    <t>--Cu</t>
  </si>
  <si>
    <t>O2\5</t>
  </si>
  <si>
    <t>O2\5_pl</t>
  </si>
  <si>
    <t>O2\5b</t>
  </si>
  <si>
    <t>O2\5c</t>
  </si>
  <si>
    <t>O2\5a</t>
  </si>
  <si>
    <t>-dc</t>
  </si>
  <si>
    <t>-old_air</t>
  </si>
  <si>
    <t>[base and dc cases using air; before switching to O2 as gas state]</t>
  </si>
  <si>
    <t>Cv_s</t>
  </si>
  <si>
    <t>Cv_g</t>
  </si>
  <si>
    <t>lambda</t>
  </si>
  <si>
    <t>ign conditions</t>
  </si>
  <si>
    <t>dc</t>
  </si>
  <si>
    <t>-1_base</t>
  </si>
  <si>
    <t>0.189 (6)</t>
  </si>
  <si>
    <t>10um\5</t>
  </si>
  <si>
    <t>Cp(air at 1000 K) (check BR)</t>
  </si>
  <si>
    <t>1um\5a</t>
  </si>
  <si>
    <t>1.66,5109</t>
  </si>
  <si>
    <t>Ar (T)</t>
  </si>
  <si>
    <t>Cu (2844 K)</t>
  </si>
  <si>
    <t>2.64,5109</t>
  </si>
  <si>
    <t>1.12,5109</t>
  </si>
  <si>
    <t>Al (2800 K)</t>
  </si>
  <si>
    <t>base</t>
  </si>
  <si>
    <t>Al</t>
  </si>
  <si>
    <t>Cu</t>
  </si>
  <si>
    <t>10^(-5)</t>
  </si>
  <si>
    <t>4.89e6</t>
  </si>
  <si>
    <t>0.99 TMD</t>
  </si>
  <si>
    <t>0.5 TMD</t>
  </si>
  <si>
    <t>0.9 TMD</t>
  </si>
  <si>
    <t>0.25 TMD</t>
  </si>
  <si>
    <t>0.1 TMD</t>
  </si>
  <si>
    <t>-gas</t>
  </si>
  <si>
    <t>Cu\5</t>
  </si>
  <si>
    <t>Ar\5</t>
  </si>
  <si>
    <t>Al\5</t>
  </si>
  <si>
    <t>1um\4a</t>
  </si>
  <si>
    <t>Case 4 after implementing corner P, P BC and Vcw changes (check BR stats)</t>
  </si>
  <si>
    <t>01W\1</t>
  </si>
  <si>
    <t>01W\2</t>
  </si>
  <si>
    <t>01W\3</t>
  </si>
  <si>
    <t>01W\4</t>
  </si>
  <si>
    <t>01W\5</t>
  </si>
  <si>
    <t>1W\1</t>
  </si>
  <si>
    <t>1W\2</t>
  </si>
  <si>
    <t>1W\3</t>
  </si>
  <si>
    <t>1W\4</t>
  </si>
  <si>
    <t>1W\5</t>
  </si>
  <si>
    <t>100W\1</t>
  </si>
  <si>
    <t>100W\2</t>
  </si>
  <si>
    <t>100W\3</t>
  </si>
  <si>
    <t>100W\4</t>
  </si>
  <si>
    <t>100W\5</t>
  </si>
  <si>
    <t>Cu\1</t>
  </si>
  <si>
    <t>Cu\2</t>
  </si>
  <si>
    <t>Cu\3</t>
  </si>
  <si>
    <t>Cu\4</t>
  </si>
  <si>
    <t>Ar\1</t>
  </si>
  <si>
    <t>Ar\2</t>
  </si>
  <si>
    <t>Ar\3</t>
  </si>
  <si>
    <t>Ar\4</t>
  </si>
  <si>
    <t>Al\1</t>
  </si>
  <si>
    <t>Al\2</t>
  </si>
  <si>
    <t>Al\3</t>
  </si>
  <si>
    <t>Al\4</t>
  </si>
  <si>
    <t>-Ea</t>
  </si>
  <si>
    <t>70kJ\1</t>
  </si>
  <si>
    <t>70kJ\2</t>
  </si>
  <si>
    <t>70kJ\3</t>
  </si>
  <si>
    <t>70kJ\4</t>
  </si>
  <si>
    <t>70kJ\5</t>
  </si>
  <si>
    <t>-mu</t>
  </si>
  <si>
    <t>4Pa\1</t>
  </si>
  <si>
    <t>4Pa\2</t>
  </si>
  <si>
    <t>4Pa\3</t>
  </si>
  <si>
    <t>4Pa\4</t>
  </si>
  <si>
    <t>4Pa\5</t>
  </si>
  <si>
    <t>3Pa\1</t>
  </si>
  <si>
    <t>3Pa\2</t>
  </si>
  <si>
    <t>3Pa\3</t>
  </si>
  <si>
    <t>3Pa\4</t>
  </si>
  <si>
    <t>3Pa\5</t>
  </si>
  <si>
    <t>70 kJ/mol</t>
  </si>
  <si>
    <t>IMPLIED: Kozeny=72, R=260, Flux=400MW/m^2, atm BCs on all except left, convective BC h=5, Fo=CFL=0.01</t>
  </si>
  <si>
    <t>10^-4</t>
  </si>
  <si>
    <t>48 kJ/mol</t>
  </si>
  <si>
    <t>Al (2844 K)</t>
  </si>
  <si>
    <t>[old] Al\5 with no IC for gas and Patm=0; little difference</t>
  </si>
  <si>
    <t>Could use extra 0.33 ms</t>
  </si>
  <si>
    <t>Needs 0.12 ms more</t>
  </si>
  <si>
    <t>65 W/m/K</t>
  </si>
  <si>
    <t>1 W/m/K</t>
  </si>
  <si>
    <t>10^-3</t>
  </si>
  <si>
    <t>100 W/m/K</t>
  </si>
  <si>
    <t>-A0</t>
  </si>
  <si>
    <t>489e5\1</t>
  </si>
  <si>
    <t>489e5\2</t>
  </si>
  <si>
    <t>489e5\3</t>
  </si>
  <si>
    <t>489e5\4</t>
  </si>
  <si>
    <t>489e5\5</t>
  </si>
  <si>
    <t>ign 30,15</t>
  </si>
  <si>
    <t>4.89e5</t>
  </si>
  <si>
    <t>244e6\1</t>
  </si>
  <si>
    <t>244e6\2</t>
  </si>
  <si>
    <t>244e6\3</t>
  </si>
  <si>
    <t>244e6\4</t>
  </si>
  <si>
    <t>244e6\5</t>
  </si>
  <si>
    <t>Needs 1ms more</t>
  </si>
  <si>
    <t>Needs 0.74 ms more</t>
  </si>
  <si>
    <t>Needs 0.56 ms more</t>
  </si>
  <si>
    <t>Needs 0.40 ms more</t>
  </si>
  <si>
    <t>ign 30,15; needs 0.9ms more</t>
  </si>
  <si>
    <t>Ign 10,15 but then reaction stopped</t>
  </si>
  <si>
    <t>Partial ign 10,15 but then reaction stopped; 50,15 wasn't even achieved and no self-sustaining</t>
  </si>
  <si>
    <t>2.44e6</t>
  </si>
  <si>
    <t>%ign</t>
  </si>
  <si>
    <t>%v</t>
  </si>
  <si>
    <t>Dimensionless groups</t>
  </si>
  <si>
    <t>Pe=</t>
  </si>
  <si>
    <t>Da=</t>
  </si>
  <si>
    <t>V_cw=</t>
  </si>
  <si>
    <t>d/dt [int(eta dz)]</t>
  </si>
  <si>
    <t>70kJ\4a</t>
  </si>
  <si>
    <t>70kJ\4b</t>
  </si>
  <si>
    <t>No ignition, but reacted top at 10,15; still no ign 30,15 by 2.4 ms</t>
  </si>
  <si>
    <t>70kJ\4c</t>
  </si>
  <si>
    <t>no ign 30,15; sometime before 10,600; finally 40,15</t>
  </si>
  <si>
    <t>Pe</t>
  </si>
  <si>
    <t>Da</t>
  </si>
  <si>
    <t>rho=</t>
  </si>
  <si>
    <t>u=</t>
  </si>
  <si>
    <t>Al\3_1</t>
  </si>
  <si>
    <t>Same non-dim value as base O2 case; no ign 10,15 or 20,15</t>
  </si>
  <si>
    <t>Al\3_2</t>
  </si>
  <si>
    <t>Same non-dim value as Cu case;</t>
  </si>
  <si>
    <t>489e5\4a</t>
  </si>
  <si>
    <t>489e5\4b</t>
  </si>
  <si>
    <t>ign 50,15 (not 30 or 40,15)</t>
  </si>
  <si>
    <t>489e5\4c</t>
  </si>
  <si>
    <t>1um\1a</t>
  </si>
  <si>
    <t>1um\2a</t>
  </si>
  <si>
    <t>80kJ\1</t>
  </si>
  <si>
    <t>80kJ\2</t>
  </si>
  <si>
    <t>80kJ\3</t>
  </si>
  <si>
    <t>80kJ\4</t>
  </si>
  <si>
    <t>80kJ\5</t>
  </si>
  <si>
    <t>Ea=100kJ/mol; no ignition 30,15 or 10,15</t>
  </si>
  <si>
    <t>80 kJ/mol</t>
  </si>
  <si>
    <t>1um\1b</t>
  </si>
  <si>
    <t>Peak pressure [MPa]</t>
  </si>
  <si>
    <t>-mesh</t>
  </si>
  <si>
    <t>4x grid pts</t>
  </si>
  <si>
    <t>Mesh Studies</t>
  </si>
  <si>
    <t>mesh</t>
  </si>
  <si>
    <t>dc\1um\2</t>
  </si>
  <si>
    <t>1um\2_1</t>
  </si>
  <si>
    <t>2x grid pts</t>
  </si>
  <si>
    <t>1um\1c</t>
  </si>
  <si>
    <t>Ignition caught late 30,15; good at 10,15</t>
  </si>
  <si>
    <t>1um\1d</t>
  </si>
  <si>
    <t>No ignition, but reacted top at 30,15; wave moving slow to 6ms</t>
  </si>
  <si>
    <t>1um\2b</t>
  </si>
  <si>
    <t>80kJ\3a</t>
  </si>
  <si>
    <t>Ign not caught 30,15 or 10,15, but wave is slow; ign somewhere in 1.5-1.8ms; later caught with 30,15???</t>
  </si>
  <si>
    <t>no ign 50,15 or 60,15 or 40,15 or 40,20; ign somewhere 50,600 (before end); unsure about ign</t>
  </si>
  <si>
    <t>ign?</t>
  </si>
  <si>
    <t>no apparent ign</t>
  </si>
  <si>
    <t>100nm\1</t>
  </si>
  <si>
    <t>100nm\2</t>
  </si>
  <si>
    <t>100nm\3</t>
  </si>
  <si>
    <t>100nm\4</t>
  </si>
  <si>
    <t>100nm\5</t>
  </si>
  <si>
    <t>100nm</t>
  </si>
  <si>
    <t>u_ref</t>
  </si>
  <si>
    <t>V*=</t>
  </si>
  <si>
    <t>t*=</t>
  </si>
  <si>
    <t>rho*u*R*L/lambda</t>
  </si>
  <si>
    <t>L/u/(1/A0)</t>
  </si>
  <si>
    <t>V_cw/u</t>
  </si>
  <si>
    <t>t_ign*u/L</t>
  </si>
  <si>
    <t>R=</t>
  </si>
  <si>
    <t>Gas constant; 260 (O2), 308 (Al), 131 (Cu)</t>
  </si>
  <si>
    <t>L=</t>
  </si>
  <si>
    <t>height of pellet</t>
  </si>
  <si>
    <t>Reference parameters</t>
  </si>
  <si>
    <t>P/R/T</t>
  </si>
  <si>
    <t>P=</t>
  </si>
  <si>
    <t>reference pressure; 101325</t>
  </si>
  <si>
    <t>reference temperature; 2844 K</t>
  </si>
  <si>
    <t>K/mu*P/L</t>
  </si>
  <si>
    <t>K=</t>
  </si>
  <si>
    <t>Carmen-Kozeny</t>
  </si>
  <si>
    <t>mu=</t>
  </si>
  <si>
    <t>viscosity</t>
  </si>
  <si>
    <t>L_ref</t>
  </si>
  <si>
    <t>P_ref</t>
  </si>
  <si>
    <t>T_ref</t>
  </si>
  <si>
    <t>V*</t>
  </si>
  <si>
    <t>t*</t>
  </si>
  <si>
    <t>non-dimensionalize using my method</t>
  </si>
  <si>
    <t>Use BET</t>
  </si>
  <si>
    <t>Use ER</t>
  </si>
  <si>
    <t>Far left</t>
  </si>
  <si>
    <t>Non-dim Experiments</t>
  </si>
  <si>
    <t>20m^2/g</t>
  </si>
  <si>
    <t>50m^2/g</t>
  </si>
  <si>
    <t>nd v_avg</t>
  </si>
  <si>
    <t>COMPILED</t>
  </si>
  <si>
    <t>Granier2004</t>
  </si>
  <si>
    <t>Al/MoO3, 39.2 nm particles</t>
  </si>
  <si>
    <t>Al/MoO3, 29.9 nm particles</t>
  </si>
  <si>
    <t>Al/MoO3, 39.2 nm particles, Figure 5</t>
  </si>
  <si>
    <t>argon, Figure 8</t>
  </si>
  <si>
    <t>Ahn2013</t>
  </si>
  <si>
    <t>Figure 6, NP/NP comp</t>
  </si>
  <si>
    <t>Guess</t>
  </si>
  <si>
    <t>Figure 5</t>
  </si>
  <si>
    <t>1um\2_2</t>
  </si>
  <si>
    <t>5x grid pts</t>
  </si>
  <si>
    <t>1um\2_3</t>
  </si>
  <si>
    <t>CFL=0.1, Fo=0.01</t>
  </si>
  <si>
    <t>nano (Niagara runs)</t>
  </si>
  <si>
    <t>CFL=Fo=0.1</t>
  </si>
  <si>
    <t>40 cores</t>
  </si>
  <si>
    <t>Run stopped, but wave had stopped</t>
  </si>
  <si>
    <t>Niagara</t>
  </si>
  <si>
    <t>Process</t>
  </si>
  <si>
    <t>MISHAP ON NIAGARA; some inst. BR data lost</t>
  </si>
  <si>
    <t>1e-8 time steps</t>
  </si>
  <si>
    <t>Run time (hrs)</t>
  </si>
  <si>
    <t>No ign 10,42; not 10,45 on 20 cores stopped 0.25 ms 5hrs; 20,40 on debug works; FINALLY on 40 cores</t>
  </si>
  <si>
    <t>ign 10,45 based on 1_base\5 [fail], stopped 0.25 ms at 5 hrs; FINALLY on 40 cores</t>
  </si>
  <si>
    <t>CFL=0.01, Fo=0.01</t>
  </si>
  <si>
    <t>ign</t>
  </si>
  <si>
    <t>No ign 10,40; ign 20,40</t>
  </si>
  <si>
    <t>no ign 20,40; ign 30,40; 40 cores</t>
  </si>
  <si>
    <t>No ign 20,40; ign 30,40; 40 cores</t>
  </si>
  <si>
    <t>Estimate ign 30,40 (no ign); ign 40,40; 40 cores</t>
  </si>
  <si>
    <t>ign 20,40</t>
  </si>
  <si>
    <t>ign 40,40; 40 cores</t>
  </si>
  <si>
    <t>no ign 20,40 or 30,40; try 40,40; 40 cores</t>
  </si>
  <si>
    <t>40 cores; restart required at 0.72 ms</t>
  </si>
  <si>
    <t>40 cores; restart 0.39 ms, stopped 0.54 ms</t>
  </si>
  <si>
    <t>40 cores; restart 0.175, stopped 0.2275 ms</t>
  </si>
  <si>
    <t>Pe_Cp</t>
  </si>
  <si>
    <t>R</t>
  </si>
  <si>
    <t>Cp</t>
  </si>
  <si>
    <t>Ar</t>
  </si>
  <si>
    <t>O2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</si>
</sst>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0"/>
    <numFmt numFmtId="166" formatCode="0.00000000E+00"/>
    <numFmt numFmtId="167" formatCode="0.000E+00"/>
    <numFmt numFmtId="168" formatCode="0.0000E+00"/>
  </numFmts>
  <fonts count="1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8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</borders>
  <cellStyleXfs count="3">
    <xf numFmtId="0" fontId="0" fillId="0" borderId="0"/>
    <xf numFmtId="9" fontId="9" fillId="0" borderId="0" applyFont="0" applyFill="0" applyBorder="0" applyAlignment="0" applyProtection="0"/>
    <xf numFmtId="0" fontId="10" fillId="0" borderId="0" applyNumberFormat="0" applyFill="0" applyBorder="0" applyAlignment="0" applyProtection="0"/>
  </cellStyleXfs>
  <cellXfs count="106">
    <xf numFmtId="0" fontId="0" fillId="0" borderId="0" xfId="0"/>
    <xf numFmtId="0" fontId="0" fillId="0" borderId="0" xfId="0" applyAlignment="1">
      <alignment horizontal="right"/>
    </xf>
    <xf numFmtId="11" fontId="0" fillId="0" borderId="0" xfId="0" applyNumberFormat="1"/>
    <xf numFmtId="0" fontId="0" fillId="0" borderId="1" xfId="0" applyBorder="1"/>
    <xf numFmtId="0" fontId="0" fillId="0" borderId="0" xfId="0" applyFill="1" applyBorder="1"/>
    <xf numFmtId="0" fontId="0" fillId="0" borderId="0" xfId="0" applyAlignment="1">
      <alignment horizontal="left"/>
    </xf>
    <xf numFmtId="0" fontId="0" fillId="0" borderId="1" xfId="0" applyFill="1" applyBorder="1"/>
    <xf numFmtId="0" fontId="0" fillId="2" borderId="1" xfId="0" applyFill="1" applyBorder="1"/>
    <xf numFmtId="0" fontId="0" fillId="0" borderId="0" xfId="0" applyBorder="1"/>
    <xf numFmtId="11" fontId="0" fillId="0" borderId="0" xfId="0" applyNumberFormat="1" applyBorder="1"/>
    <xf numFmtId="0" fontId="0" fillId="3" borderId="1" xfId="0" applyFill="1" applyBorder="1"/>
    <xf numFmtId="0" fontId="0" fillId="3" borderId="0" xfId="0" applyFill="1" applyBorder="1"/>
    <xf numFmtId="0" fontId="0" fillId="3" borderId="0" xfId="0" applyFill="1"/>
    <xf numFmtId="11" fontId="0" fillId="3" borderId="0" xfId="0" applyNumberFormat="1" applyFill="1"/>
    <xf numFmtId="0" fontId="1" fillId="2" borderId="1" xfId="0" applyFont="1" applyFill="1" applyBorder="1"/>
    <xf numFmtId="0" fontId="1" fillId="0" borderId="1" xfId="0" applyFont="1" applyFill="1" applyBorder="1"/>
    <xf numFmtId="0" fontId="0" fillId="0" borderId="1" xfId="0" quotePrefix="1" applyFill="1" applyBorder="1"/>
    <xf numFmtId="0" fontId="0" fillId="0" borderId="1" xfId="0" quotePrefix="1" applyBorder="1"/>
    <xf numFmtId="0" fontId="0" fillId="3" borderId="0" xfId="0" applyFill="1" applyAlignment="1">
      <alignment horizontal="right"/>
    </xf>
    <xf numFmtId="0" fontId="1" fillId="3" borderId="1" xfId="0" applyFont="1" applyFill="1" applyBorder="1"/>
    <xf numFmtId="0" fontId="2" fillId="0" borderId="1" xfId="0" applyFont="1" applyBorder="1"/>
    <xf numFmtId="0" fontId="0" fillId="0" borderId="0" xfId="0" applyFill="1"/>
    <xf numFmtId="0" fontId="0" fillId="0" borderId="0" xfId="0" applyFill="1" applyAlignment="1">
      <alignment horizontal="right"/>
    </xf>
    <xf numFmtId="11" fontId="0" fillId="0" borderId="0" xfId="0" applyNumberFormat="1" applyFill="1" applyBorder="1"/>
    <xf numFmtId="0" fontId="0" fillId="0" borderId="0" xfId="0" applyFill="1" applyAlignment="1">
      <alignment horizontal="left"/>
    </xf>
    <xf numFmtId="11" fontId="0" fillId="0" borderId="0" xfId="0" applyNumberFormat="1" applyFill="1"/>
    <xf numFmtId="0" fontId="3" fillId="0" borderId="1" xfId="0" applyFont="1" applyBorder="1"/>
    <xf numFmtId="0" fontId="0" fillId="0" borderId="0" xfId="0" quotePrefix="1"/>
    <xf numFmtId="0" fontId="0" fillId="0" borderId="0" xfId="0" applyNumberFormat="1"/>
    <xf numFmtId="0" fontId="4" fillId="0" borderId="0" xfId="0" applyFont="1"/>
    <xf numFmtId="11" fontId="0" fillId="0" borderId="0" xfId="0" applyNumberFormat="1" applyFill="1" applyAlignment="1">
      <alignment horizontal="right"/>
    </xf>
    <xf numFmtId="11" fontId="0" fillId="2" borderId="0" xfId="0" applyNumberFormat="1" applyFill="1"/>
    <xf numFmtId="0" fontId="0" fillId="4" borderId="0" xfId="0" applyFill="1"/>
    <xf numFmtId="0" fontId="0" fillId="0" borderId="0" xfId="0" applyNumberFormat="1" applyFill="1" applyBorder="1"/>
    <xf numFmtId="0" fontId="0" fillId="0" borderId="0" xfId="0" applyFill="1" applyBorder="1" applyAlignment="1">
      <alignment horizontal="right"/>
    </xf>
    <xf numFmtId="0" fontId="1" fillId="0" borderId="0" xfId="0" applyFont="1" applyFill="1" applyBorder="1"/>
    <xf numFmtId="11" fontId="0" fillId="0" borderId="1" xfId="0" applyNumberFormat="1" applyBorder="1"/>
    <xf numFmtId="0" fontId="0" fillId="0" borderId="0" xfId="0" applyNumberFormat="1" applyFill="1"/>
    <xf numFmtId="0" fontId="0" fillId="0" borderId="1" xfId="0" applyFill="1" applyBorder="1" applyAlignment="1">
      <alignment horizontal="right"/>
    </xf>
    <xf numFmtId="0" fontId="1" fillId="0" borderId="1" xfId="0" quotePrefix="1" applyFont="1" applyFill="1" applyBorder="1"/>
    <xf numFmtId="0" fontId="1" fillId="0" borderId="0" xfId="0" applyFont="1" applyFill="1"/>
    <xf numFmtId="0" fontId="1" fillId="0" borderId="0" xfId="0" quotePrefix="1" applyFont="1" applyFill="1"/>
    <xf numFmtId="0" fontId="1" fillId="0" borderId="0" xfId="0" applyFont="1" applyFill="1" applyAlignment="1">
      <alignment horizontal="right"/>
    </xf>
    <xf numFmtId="11" fontId="1" fillId="0" borderId="0" xfId="0" applyNumberFormat="1" applyFont="1" applyFill="1" applyBorder="1"/>
    <xf numFmtId="11" fontId="1" fillId="0" borderId="0" xfId="0" applyNumberFormat="1" applyFont="1" applyFill="1"/>
    <xf numFmtId="0" fontId="1" fillId="0" borderId="0" xfId="0" applyFont="1" applyFill="1" applyAlignment="1">
      <alignment horizontal="left"/>
    </xf>
    <xf numFmtId="11" fontId="1" fillId="0" borderId="1" xfId="0" applyNumberFormat="1" applyFont="1" applyFill="1" applyBorder="1"/>
    <xf numFmtId="0" fontId="1" fillId="0" borderId="0" xfId="0" applyNumberFormat="1" applyFont="1" applyFill="1" applyBorder="1"/>
    <xf numFmtId="0" fontId="1" fillId="0" borderId="0" xfId="0" applyFont="1" applyFill="1" applyBorder="1" applyAlignment="1">
      <alignment horizontal="right"/>
    </xf>
    <xf numFmtId="11" fontId="1" fillId="0" borderId="0" xfId="0" applyNumberFormat="1" applyFont="1" applyFill="1" applyAlignment="1">
      <alignment horizontal="right"/>
    </xf>
    <xf numFmtId="0" fontId="1" fillId="0" borderId="1" xfId="0" applyFont="1" applyFill="1" applyBorder="1" applyAlignment="1">
      <alignment horizontal="right"/>
    </xf>
    <xf numFmtId="0" fontId="0" fillId="0" borderId="0" xfId="0" applyNumberFormat="1" applyFill="1" applyAlignment="1">
      <alignment horizontal="right"/>
    </xf>
    <xf numFmtId="0" fontId="0" fillId="0" borderId="0" xfId="0" quotePrefix="1" applyFill="1" applyBorder="1" applyAlignment="1">
      <alignment horizontal="left"/>
    </xf>
    <xf numFmtId="0" fontId="0" fillId="0" borderId="0" xfId="0" quotePrefix="1" applyBorder="1"/>
    <xf numFmtId="0" fontId="0" fillId="0" borderId="0" xfId="0" quotePrefix="1" applyFill="1" applyBorder="1"/>
    <xf numFmtId="0" fontId="0" fillId="0" borderId="0" xfId="0" quotePrefix="1" applyFill="1" applyBorder="1" applyAlignment="1">
      <alignment horizontal="right"/>
    </xf>
    <xf numFmtId="0" fontId="5" fillId="0" borderId="0" xfId="0" applyFont="1"/>
    <xf numFmtId="0" fontId="0" fillId="3" borderId="0" xfId="0" applyNumberFormat="1" applyFill="1" applyBorder="1"/>
    <xf numFmtId="2" fontId="0" fillId="3" borderId="0" xfId="0" applyNumberFormat="1" applyFill="1" applyBorder="1"/>
    <xf numFmtId="0" fontId="0" fillId="0" borderId="2" xfId="0" applyNumberFormat="1" applyFill="1" applyBorder="1" applyAlignment="1">
      <alignment horizontal="right"/>
    </xf>
    <xf numFmtId="164" fontId="0" fillId="0" borderId="0" xfId="0" applyNumberFormat="1"/>
    <xf numFmtId="0" fontId="0" fillId="2" borderId="0" xfId="0" applyNumberFormat="1" applyFill="1"/>
    <xf numFmtId="11" fontId="8" fillId="0" borderId="1" xfId="0" applyNumberFormat="1" applyFont="1" applyFill="1" applyBorder="1"/>
    <xf numFmtId="0" fontId="0" fillId="2" borderId="0" xfId="0" applyFill="1"/>
    <xf numFmtId="164" fontId="0" fillId="0" borderId="0" xfId="0" applyNumberFormat="1" applyFill="1"/>
    <xf numFmtId="3" fontId="0" fillId="0" borderId="0" xfId="0" applyNumberFormat="1"/>
    <xf numFmtId="0" fontId="0" fillId="5" borderId="0" xfId="0" quotePrefix="1" applyFill="1"/>
    <xf numFmtId="0" fontId="0" fillId="5" borderId="0" xfId="0" applyFill="1"/>
    <xf numFmtId="0" fontId="0" fillId="5" borderId="1" xfId="0" applyFill="1" applyBorder="1"/>
    <xf numFmtId="0" fontId="1" fillId="0" borderId="0" xfId="0" applyNumberFormat="1" applyFont="1" applyFill="1"/>
    <xf numFmtId="0" fontId="0" fillId="0" borderId="0" xfId="0" quotePrefix="1" applyAlignment="1">
      <alignment horizontal="right"/>
    </xf>
    <xf numFmtId="165" fontId="0" fillId="0" borderId="0" xfId="0" applyNumberFormat="1" applyFill="1"/>
    <xf numFmtId="165" fontId="0" fillId="0" borderId="0" xfId="0" applyNumberFormat="1"/>
    <xf numFmtId="0" fontId="0" fillId="0" borderId="3" xfId="0" applyBorder="1"/>
    <xf numFmtId="0" fontId="0" fillId="0" borderId="4" xfId="0" applyNumberFormat="1" applyFill="1" applyBorder="1" applyAlignment="1">
      <alignment horizontal="right"/>
    </xf>
    <xf numFmtId="0" fontId="0" fillId="0" borderId="4" xfId="0" applyBorder="1"/>
    <xf numFmtId="0" fontId="0" fillId="0" borderId="0" xfId="0" applyNumberFormat="1" applyFill="1" applyBorder="1" applyAlignment="1">
      <alignment horizontal="right"/>
    </xf>
    <xf numFmtId="0" fontId="0" fillId="0" borderId="0" xfId="0" applyNumberFormat="1" applyBorder="1"/>
    <xf numFmtId="0" fontId="0" fillId="0" borderId="2" xfId="0" applyBorder="1"/>
    <xf numFmtId="11" fontId="0" fillId="0" borderId="0" xfId="0" quotePrefix="1" applyNumberFormat="1"/>
    <xf numFmtId="0" fontId="0" fillId="0" borderId="0" xfId="0" quotePrefix="1" applyAlignment="1">
      <alignment horizontal="left"/>
    </xf>
    <xf numFmtId="165" fontId="0" fillId="2" borderId="0" xfId="0" applyNumberFormat="1" applyFill="1"/>
    <xf numFmtId="0" fontId="0" fillId="0" borderId="6" xfId="0" applyBorder="1"/>
    <xf numFmtId="2" fontId="0" fillId="0" borderId="0" xfId="1" applyNumberFormat="1" applyFont="1" applyBorder="1"/>
    <xf numFmtId="2" fontId="0" fillId="0" borderId="4" xfId="1" applyNumberFormat="1" applyFont="1" applyBorder="1"/>
    <xf numFmtId="2" fontId="0" fillId="0" borderId="1" xfId="1" applyNumberFormat="1" applyFont="1" applyBorder="1"/>
    <xf numFmtId="2" fontId="0" fillId="0" borderId="5" xfId="1" applyNumberFormat="1" applyFont="1" applyBorder="1"/>
    <xf numFmtId="0" fontId="0" fillId="0" borderId="7" xfId="0" applyBorder="1"/>
    <xf numFmtId="0" fontId="0" fillId="0" borderId="6" xfId="0" applyNumberFormat="1" applyFill="1" applyBorder="1" applyAlignment="1">
      <alignment horizontal="right"/>
    </xf>
    <xf numFmtId="1" fontId="0" fillId="0" borderId="1" xfId="1" applyNumberFormat="1" applyFont="1" applyBorder="1"/>
    <xf numFmtId="1" fontId="0" fillId="0" borderId="5" xfId="1" applyNumberFormat="1" applyFont="1" applyBorder="1"/>
    <xf numFmtId="1" fontId="0" fillId="0" borderId="0" xfId="1" applyNumberFormat="1" applyFont="1" applyBorder="1"/>
    <xf numFmtId="165" fontId="0" fillId="6" borderId="0" xfId="0" applyNumberFormat="1" applyFill="1"/>
    <xf numFmtId="0" fontId="0" fillId="0" borderId="2" xfId="0" quotePrefix="1" applyBorder="1"/>
    <xf numFmtId="11" fontId="0" fillId="0" borderId="6" xfId="0" applyNumberFormat="1" applyBorder="1"/>
    <xf numFmtId="166" fontId="0" fillId="0" borderId="0" xfId="0" applyNumberFormat="1"/>
    <xf numFmtId="0" fontId="10" fillId="0" borderId="0" xfId="2"/>
    <xf numFmtId="0" fontId="1" fillId="0" borderId="0" xfId="0" applyFont="1"/>
    <xf numFmtId="11" fontId="0" fillId="0" borderId="4" xfId="0" applyNumberFormat="1" applyBorder="1"/>
    <xf numFmtId="0" fontId="0" fillId="0" borderId="2" xfId="0" applyFill="1" applyBorder="1"/>
    <xf numFmtId="11" fontId="1" fillId="3" borderId="0" xfId="0" applyNumberFormat="1" applyFont="1" applyFill="1"/>
    <xf numFmtId="11" fontId="0" fillId="5" borderId="0" xfId="0" applyNumberFormat="1" applyFill="1"/>
    <xf numFmtId="167" fontId="0" fillId="0" borderId="0" xfId="0" applyNumberFormat="1"/>
    <xf numFmtId="0" fontId="0" fillId="6" borderId="0" xfId="0" applyFill="1"/>
    <xf numFmtId="165" fontId="0" fillId="0" borderId="0" xfId="0" applyNumberFormat="1" applyFill="1" applyAlignment="1">
      <alignment wrapText="1"/>
    </xf>
    <xf numFmtId="168" fontId="0" fillId="0" borderId="0" xfId="0" applyNumberFormat="1"/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Thermal conductivity</a:t>
            </a:r>
            <a:r>
              <a:rPr lang="en-US"/>
              <a:t>; Ea=48, Cp=625, rho=1523; coarse</a:t>
            </a:r>
            <a:r>
              <a:rPr lang="en-US" baseline="0"/>
              <a:t> mesh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wave speed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(Conserv!$D$13,Conserv!$D$18,Conserv!$D$26)</c:f>
              <c:numCache>
                <c:formatCode>General</c:formatCode>
                <c:ptCount val="3"/>
                <c:pt idx="0">
                  <c:v>156</c:v>
                </c:pt>
                <c:pt idx="1">
                  <c:v>78</c:v>
                </c:pt>
                <c:pt idx="2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(Conserv!$N$13,Conserv!$N$18,Conserv!$N$26)</c:f>
              <c:numCache>
                <c:formatCode>General</c:formatCode>
                <c:ptCount val="3"/>
                <c:pt idx="0">
                  <c:v>19.3</c:v>
                </c:pt>
                <c:pt idx="1">
                  <c:v>14.2</c:v>
                </c:pt>
                <c:pt idx="2">
                  <c:v>13.2</c:v>
                </c:pt>
              </c:numCache>
              <c:extLst xmlns:c15="http://schemas.microsoft.com/office/drawing/2012/chart"/>
            </c:numRef>
          </c:yVal>
          <c:smooth val="1"/>
          <c:extLst>
            <c:ext xmlns:c16="http://schemas.microsoft.com/office/drawing/2014/chart" uri="{C3380CC4-5D6E-409C-BE32-E72D297353CC}">
              <c16:uniqueId val="{00000000-E87D-41B9-9490-92BB1BC962EC}"/>
            </c:ext>
          </c:extLst>
        </c:ser>
        <c:ser>
          <c:idx val="1"/>
          <c:order val="1"/>
          <c:tx>
            <c:v>ignition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(Conserv!$D$13,Conserv!$D$18,Conserv!$D$26)</c:f>
              <c:numCache>
                <c:formatCode>General</c:formatCode>
                <c:ptCount val="3"/>
                <c:pt idx="0">
                  <c:v>156</c:v>
                </c:pt>
                <c:pt idx="1">
                  <c:v>78</c:v>
                </c:pt>
                <c:pt idx="2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(Conserv!$M$13,Conserv!$M$18,Conserv!$M$26)</c:f>
              <c:numCache>
                <c:formatCode>General</c:formatCode>
                <c:ptCount val="3"/>
                <c:pt idx="0">
                  <c:v>0.48</c:v>
                </c:pt>
                <c:pt idx="1">
                  <c:v>0.18</c:v>
                </c:pt>
                <c:pt idx="2">
                  <c:v>0.15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E87D-41B9-9490-92BB1BC962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594208"/>
        <c:axId val="391592568"/>
        <c:extLst/>
      </c:scatterChart>
      <c:valAx>
        <c:axId val="39159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2568"/>
        <c:crosses val="autoZero"/>
        <c:crossBetween val="midCat"/>
      </c:valAx>
      <c:valAx>
        <c:axId val="39159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4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Density</a:t>
            </a:r>
            <a:r>
              <a:rPr lang="en-US"/>
              <a:t>;</a:t>
            </a:r>
            <a:r>
              <a:rPr lang="en-US" baseline="0"/>
              <a:t> </a:t>
            </a:r>
            <a:r>
              <a:rPr lang="en-US"/>
              <a:t>Ea=48, Cp=625; coarse</a:t>
            </a:r>
            <a:r>
              <a:rPr lang="en-US" baseline="0"/>
              <a:t> mesh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2"/>
          <c:order val="0"/>
          <c:tx>
            <c:v>rho-156k_ign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Conserv!$B$13:$B$14</c:f>
              <c:numCache>
                <c:formatCode>General</c:formatCode>
                <c:ptCount val="2"/>
                <c:pt idx="0">
                  <c:v>1523</c:v>
                </c:pt>
                <c:pt idx="1">
                  <c:v>3808</c:v>
                </c:pt>
              </c:numCache>
            </c:numRef>
          </c:xVal>
          <c:yVal>
            <c:numRef>
              <c:f>Conserv!$M$13:$M$14</c:f>
              <c:numCache>
                <c:formatCode>General</c:formatCode>
                <c:ptCount val="2"/>
                <c:pt idx="0">
                  <c:v>0.48</c:v>
                </c:pt>
                <c:pt idx="1">
                  <c:v>0.67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1CE-4819-8226-F1CAF93C42FB}"/>
            </c:ext>
          </c:extLst>
        </c:ser>
        <c:ser>
          <c:idx val="3"/>
          <c:order val="1"/>
          <c:tx>
            <c:v>rho-78k_ign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Conserv!$B$21:$B$22</c:f>
              <c:numCache>
                <c:formatCode>General</c:formatCode>
                <c:ptCount val="2"/>
                <c:pt idx="0">
                  <c:v>1523</c:v>
                </c:pt>
                <c:pt idx="1">
                  <c:v>2020</c:v>
                </c:pt>
              </c:numCache>
            </c:numRef>
          </c:xVal>
          <c:yVal>
            <c:numRef>
              <c:f>Conserv!$M$21:$M$22</c:f>
              <c:numCache>
                <c:formatCode>General</c:formatCode>
                <c:ptCount val="2"/>
                <c:pt idx="0">
                  <c:v>0.18</c:v>
                </c:pt>
                <c:pt idx="1">
                  <c:v>0.22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1CE-4819-8226-F1CAF93C42FB}"/>
            </c:ext>
          </c:extLst>
        </c:ser>
        <c:ser>
          <c:idx val="4"/>
          <c:order val="2"/>
          <c:tx>
            <c:v>rho-156k_v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Conserv!$B$13:$B$14</c:f>
              <c:numCache>
                <c:formatCode>General</c:formatCode>
                <c:ptCount val="2"/>
                <c:pt idx="0">
                  <c:v>1523</c:v>
                </c:pt>
                <c:pt idx="1">
                  <c:v>3808</c:v>
                </c:pt>
              </c:numCache>
              <c:extLst xmlns:c15="http://schemas.microsoft.com/office/drawing/2012/chart"/>
            </c:numRef>
          </c:xVal>
          <c:yVal>
            <c:numRef>
              <c:f>Conserv!$N$13:$N$14</c:f>
              <c:numCache>
                <c:formatCode>General</c:formatCode>
                <c:ptCount val="2"/>
                <c:pt idx="0">
                  <c:v>19.3</c:v>
                </c:pt>
                <c:pt idx="1">
                  <c:v>12.7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B1CE-4819-8226-F1CAF93C42FB}"/>
            </c:ext>
          </c:extLst>
        </c:ser>
        <c:ser>
          <c:idx val="5"/>
          <c:order val="3"/>
          <c:tx>
            <c:v>rho-78k_v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Conserv!$B$21:$B$22</c:f>
              <c:numCache>
                <c:formatCode>General</c:formatCode>
                <c:ptCount val="2"/>
                <c:pt idx="0">
                  <c:v>1523</c:v>
                </c:pt>
                <c:pt idx="1">
                  <c:v>2020</c:v>
                </c:pt>
              </c:numCache>
              <c:extLst xmlns:c15="http://schemas.microsoft.com/office/drawing/2012/chart"/>
            </c:numRef>
          </c:xVal>
          <c:yVal>
            <c:numRef>
              <c:f>Conserv!$N$21:$N$22</c:f>
              <c:numCache>
                <c:formatCode>General</c:formatCode>
                <c:ptCount val="2"/>
                <c:pt idx="0">
                  <c:v>14.7</c:v>
                </c:pt>
                <c:pt idx="1">
                  <c:v>12.5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B1CE-4819-8226-F1CAF93C42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594208"/>
        <c:axId val="391592568"/>
        <c:extLst/>
      </c:scatterChart>
      <c:valAx>
        <c:axId val="39159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2568"/>
        <c:crosses val="autoZero"/>
        <c:crossBetween val="midCat"/>
      </c:valAx>
      <c:valAx>
        <c:axId val="39159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4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Pre-exponential</a:t>
            </a:r>
            <a:r>
              <a:rPr lang="en-US" baseline="0"/>
              <a:t> factor; Ea=70, rho=1523,Cp=625,k=65,dH=4.7; coarse mesh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ignition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(Conserv!$K$25,Conserv!$K$38,Conserv!$K$39,Conserv!$K$40,Conserv!$K$41)</c:f>
              <c:numCache>
                <c:formatCode>0.00E+00</c:formatCode>
                <c:ptCount val="5"/>
                <c:pt idx="0">
                  <c:v>4890000</c:v>
                </c:pt>
                <c:pt idx="1">
                  <c:v>5000000</c:v>
                </c:pt>
                <c:pt idx="2">
                  <c:v>5500000</c:v>
                </c:pt>
                <c:pt idx="3">
                  <c:v>6000000</c:v>
                </c:pt>
                <c:pt idx="4">
                  <c:v>8000000</c:v>
                </c:pt>
              </c:numCache>
            </c:numRef>
          </c:xVal>
          <c:yVal>
            <c:numRef>
              <c:f>(Conserv!$M$25,Conserv!$M$38,Conserv!$M$39,Conserv!$M$40,Conserv!$M$41)</c:f>
              <c:numCache>
                <c:formatCode>General</c:formatCode>
                <c:ptCount val="5"/>
                <c:pt idx="0">
                  <c:v>0.62</c:v>
                </c:pt>
                <c:pt idx="1">
                  <c:v>0.61</c:v>
                </c:pt>
                <c:pt idx="2">
                  <c:v>0.59</c:v>
                </c:pt>
                <c:pt idx="3">
                  <c:v>0.56999999999999995</c:v>
                </c:pt>
                <c:pt idx="4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6E8-4EF2-9BD9-8A7C5EB7C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783048"/>
        <c:axId val="420781080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wave speed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(Conserv!$K$25,Conserv!$K$38,Conserv!$K$39,Conserv!$K$40,Conserv!$K$41)</c15:sqref>
                        </c15:formulaRef>
                      </c:ext>
                    </c:extLst>
                    <c:numCache>
                      <c:formatCode>0.00E+00</c:formatCode>
                      <c:ptCount val="5"/>
                      <c:pt idx="0">
                        <c:v>4890000</c:v>
                      </c:pt>
                      <c:pt idx="1">
                        <c:v>5000000</c:v>
                      </c:pt>
                      <c:pt idx="2">
                        <c:v>5500000</c:v>
                      </c:pt>
                      <c:pt idx="3">
                        <c:v>6000000</c:v>
                      </c:pt>
                      <c:pt idx="4">
                        <c:v>8000000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(Conserv!$N$25,Conserv!$N$38,Conserv!$N$39,Conserv!$N$40,Conserv!$N$41)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9.6</c:v>
                      </c:pt>
                      <c:pt idx="1">
                        <c:v>9.6</c:v>
                      </c:pt>
                      <c:pt idx="2">
                        <c:v>10.1</c:v>
                      </c:pt>
                      <c:pt idx="3">
                        <c:v>10.4</c:v>
                      </c:pt>
                      <c:pt idx="4">
                        <c:v>11.7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A6E8-4EF2-9BD9-8A7C5EB7CBE0}"/>
                  </c:ext>
                </c:extLst>
              </c15:ser>
            </c15:filteredScatterSeries>
          </c:ext>
        </c:extLst>
      </c:scatterChart>
      <c:valAx>
        <c:axId val="420783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781080"/>
        <c:crosses val="autoZero"/>
        <c:crossBetween val="midCat"/>
      </c:valAx>
      <c:valAx>
        <c:axId val="420781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783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Wave Speed vs. Enthalpy of Combustion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v>Ea=70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(Conserv!$L$35,Conserv!$L$32,Conserv!$L$25,Conserv!$L$33)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</c:numRef>
          </c:xVal>
          <c:yVal>
            <c:numRef>
              <c:f>(Conserv!$N$35,Conserv!$N$32,Conserv!$N$25,Conserv!$N$33)</c:f>
              <c:numCache>
                <c:formatCode>General</c:formatCode>
                <c:ptCount val="4"/>
                <c:pt idx="0">
                  <c:v>7.2</c:v>
                </c:pt>
                <c:pt idx="1">
                  <c:v>8.1999999999999993</c:v>
                </c:pt>
                <c:pt idx="2">
                  <c:v>9.6</c:v>
                </c:pt>
                <c:pt idx="3">
                  <c:v>10.1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2E-4D86-BDD8-1D7FDAE15969}"/>
            </c:ext>
          </c:extLst>
        </c:ser>
        <c:ser>
          <c:idx val="2"/>
          <c:order val="1"/>
          <c:tx>
            <c:v>Ea=48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noFill/>
              </a:ln>
              <a:effectLst/>
            </c:spPr>
          </c:marker>
          <c:xVal>
            <c:numRef>
              <c:f>(Conserv!$L$29,Conserv!$L$28,Conserv!$L$26,Conserv!$L$30)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</c:numRef>
          </c:xVal>
          <c:yVal>
            <c:numRef>
              <c:f>(Conserv!$N$29,Conserv!$N$28,Conserv!$N$26,Conserv!$N$30)</c:f>
              <c:numCache>
                <c:formatCode>General</c:formatCode>
                <c:ptCount val="4"/>
                <c:pt idx="0">
                  <c:v>10.6</c:v>
                </c:pt>
                <c:pt idx="1">
                  <c:v>11.8</c:v>
                </c:pt>
                <c:pt idx="2">
                  <c:v>13.2</c:v>
                </c:pt>
                <c:pt idx="3">
                  <c:v>13.8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D1-4842-8959-D58DAF73349A}"/>
            </c:ext>
          </c:extLst>
        </c:ser>
        <c:ser>
          <c:idx val="0"/>
          <c:order val="2"/>
          <c:tx>
            <c:v>Ea=48,axi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('Tests-Axi'!$P$16,'Tests-Axi'!$P$17,'Tests-Axi'!$P$12,'Tests-Axi'!$P$18)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</c:numRef>
          </c:xVal>
          <c:yVal>
            <c:numRef>
              <c:f>('Tests-Axi'!$T$16,'Tests-Axi'!$T$17,'Tests-Axi'!$T$12,'Tests-Axi'!$T$18)</c:f>
              <c:numCache>
                <c:formatCode>General</c:formatCode>
                <c:ptCount val="4"/>
                <c:pt idx="0">
                  <c:v>10.7</c:v>
                </c:pt>
                <c:pt idx="1">
                  <c:v>12</c:v>
                </c:pt>
                <c:pt idx="2">
                  <c:v>13.5</c:v>
                </c:pt>
                <c:pt idx="3">
                  <c:v>14.2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AA-468B-842B-D504A447A73F}"/>
            </c:ext>
          </c:extLst>
        </c:ser>
        <c:ser>
          <c:idx val="3"/>
          <c:order val="3"/>
          <c:tx>
            <c:v>Ea=70,axi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'Tests-Axi'!$P$5</c:f>
              <c:numCache>
                <c:formatCode>General</c:formatCode>
                <c:ptCount val="1"/>
                <c:pt idx="0">
                  <c:v>4.7</c:v>
                </c:pt>
              </c:numCache>
            </c:numRef>
          </c:xVal>
          <c:yVal>
            <c:numRef>
              <c:f>'Tests-Axi'!$T$5</c:f>
              <c:numCache>
                <c:formatCode>General</c:formatCode>
                <c:ptCount val="1"/>
                <c:pt idx="0">
                  <c:v>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2AA-468B-842B-D504A447A7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594208"/>
        <c:axId val="391592568"/>
        <c:extLst/>
      </c:scatterChart>
      <c:valAx>
        <c:axId val="39159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000" b="0" i="0" baseline="0">
                    <a:effectLst/>
                  </a:rPr>
                  <a:t>Enthalpy of Combustion (kJ/g)</a:t>
                </a:r>
                <a:endParaRPr lang="en-CA" sz="4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2568"/>
        <c:crosses val="autoZero"/>
        <c:crossBetween val="midCat"/>
      </c:valAx>
      <c:valAx>
        <c:axId val="39159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Wave Speed (m/s)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4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Wave Speed</a:t>
            </a:r>
            <a:r>
              <a:rPr lang="en-US" b="1" baseline="0"/>
              <a:t> vs. </a:t>
            </a:r>
            <a:r>
              <a:rPr lang="en-US" b="1"/>
              <a:t>Thermal conductivity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v>Ea=70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(Conserv!$D$25,Conserv!$D$19,Conserv!$D$34,Conserv!$D$31)</c:f>
              <c:numCache>
                <c:formatCode>General</c:formatCode>
                <c:ptCount val="4"/>
                <c:pt idx="0">
                  <c:v>65</c:v>
                </c:pt>
                <c:pt idx="1">
                  <c:v>78</c:v>
                </c:pt>
                <c:pt idx="2">
                  <c:v>100</c:v>
                </c:pt>
                <c:pt idx="3">
                  <c:v>156</c:v>
                </c:pt>
              </c:numCache>
              <c:extLst xmlns:c15="http://schemas.microsoft.com/office/drawing/2012/chart"/>
            </c:numRef>
          </c:xVal>
          <c:yVal>
            <c:numRef>
              <c:f>(Conserv!$N$25,Conserv!$N$19,Conserv!$N$34,Conserv!$N$31)</c:f>
              <c:numCache>
                <c:formatCode>General</c:formatCode>
                <c:ptCount val="4"/>
                <c:pt idx="0">
                  <c:v>9.6</c:v>
                </c:pt>
                <c:pt idx="1">
                  <c:v>10.6</c:v>
                </c:pt>
                <c:pt idx="2">
                  <c:v>12</c:v>
                </c:pt>
                <c:pt idx="3">
                  <c:v>15.3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F6D2-4261-899A-D6BFBD62767B}"/>
            </c:ext>
          </c:extLst>
        </c:ser>
        <c:ser>
          <c:idx val="2"/>
          <c:order val="1"/>
          <c:tx>
            <c:v>Ea=48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noFill/>
              </a:ln>
              <a:effectLst/>
            </c:spPr>
          </c:marker>
          <c:xVal>
            <c:numRef>
              <c:f>(Conserv!$D$26,Conserv!$D$21,Conserv!$D$27,Conserv!$D$13)</c:f>
              <c:numCache>
                <c:formatCode>General</c:formatCode>
                <c:ptCount val="4"/>
                <c:pt idx="0">
                  <c:v>65</c:v>
                </c:pt>
                <c:pt idx="1">
                  <c:v>78</c:v>
                </c:pt>
                <c:pt idx="2">
                  <c:v>100</c:v>
                </c:pt>
                <c:pt idx="3">
                  <c:v>156</c:v>
                </c:pt>
              </c:numCache>
            </c:numRef>
          </c:xVal>
          <c:yVal>
            <c:numRef>
              <c:f>(Conserv!$N$26,Conserv!$N$21,Conserv!$N$27,Conserv!$N$13)</c:f>
              <c:numCache>
                <c:formatCode>General</c:formatCode>
                <c:ptCount val="4"/>
                <c:pt idx="0">
                  <c:v>13.2</c:v>
                </c:pt>
                <c:pt idx="1">
                  <c:v>14.7</c:v>
                </c:pt>
                <c:pt idx="2">
                  <c:v>16.7</c:v>
                </c:pt>
                <c:pt idx="3">
                  <c:v>19.3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F6-448C-8745-E89CBB219AE3}"/>
            </c:ext>
          </c:extLst>
        </c:ser>
        <c:ser>
          <c:idx val="0"/>
          <c:order val="2"/>
          <c:tx>
            <c:v>Ea=48,axi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('Tests-Axi'!$E$12,'Tests-Axi'!$E$13,'Tests-Axi'!$E$14,'Tests-Axi'!$E$15)</c:f>
              <c:numCache>
                <c:formatCode>General</c:formatCode>
                <c:ptCount val="4"/>
                <c:pt idx="0">
                  <c:v>65</c:v>
                </c:pt>
                <c:pt idx="1">
                  <c:v>78</c:v>
                </c:pt>
                <c:pt idx="2">
                  <c:v>100</c:v>
                </c:pt>
                <c:pt idx="3">
                  <c:v>156</c:v>
                </c:pt>
              </c:numCache>
            </c:numRef>
          </c:xVal>
          <c:yVal>
            <c:numRef>
              <c:f>('Tests-Axi'!$T$12,'Tests-Axi'!$T$13,'Tests-Axi'!$T$14,'Tests-Axi'!$T$15)</c:f>
              <c:numCache>
                <c:formatCode>General</c:formatCode>
                <c:ptCount val="4"/>
                <c:pt idx="0">
                  <c:v>13.5</c:v>
                </c:pt>
                <c:pt idx="1">
                  <c:v>15.1</c:v>
                </c:pt>
                <c:pt idx="2">
                  <c:v>17.2</c:v>
                </c:pt>
                <c:pt idx="3">
                  <c:v>19.3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9C-4227-A114-FB42154A396A}"/>
            </c:ext>
          </c:extLst>
        </c:ser>
        <c:ser>
          <c:idx val="3"/>
          <c:order val="3"/>
          <c:tx>
            <c:v>Ea=70,axi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'Tests-Axi'!$E$5</c:f>
              <c:numCache>
                <c:formatCode>General</c:formatCode>
                <c:ptCount val="1"/>
                <c:pt idx="0">
                  <c:v>65</c:v>
                </c:pt>
              </c:numCache>
            </c:numRef>
          </c:xVal>
          <c:yVal>
            <c:numRef>
              <c:f>'Tests-Axi'!$T$5</c:f>
              <c:numCache>
                <c:formatCode>General</c:formatCode>
                <c:ptCount val="1"/>
                <c:pt idx="0">
                  <c:v>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D9C-4227-A114-FB42154A3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594208"/>
        <c:axId val="391592568"/>
        <c:extLst/>
      </c:scatterChart>
      <c:valAx>
        <c:axId val="39159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000" b="0" i="0" baseline="0">
                    <a:effectLst/>
                  </a:rPr>
                  <a:t>Thermal Conductivity (W/m/K)</a:t>
                </a:r>
                <a:endParaRPr lang="en-CA" sz="4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2568"/>
        <c:crosses val="autoZero"/>
        <c:crossBetween val="midCat"/>
      </c:valAx>
      <c:valAx>
        <c:axId val="39159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4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Ignition delay vs. Enthalpy of combustion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Ea=48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(Conserv!$L$29,Conserv!$L$28,Conserv!$L$26,Conserv!$L$30)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  <c:extLst xmlns:c15="http://schemas.microsoft.com/office/drawing/2012/chart"/>
            </c:numRef>
          </c:xVal>
          <c:yVal>
            <c:numRef>
              <c:f>(Conserv!$M$29,Conserv!$M$28,Conserv!$M$26,Conserv!$M$30)</c:f>
              <c:numCache>
                <c:formatCode>General</c:formatCode>
                <c:ptCount val="4"/>
                <c:pt idx="0">
                  <c:v>0.18</c:v>
                </c:pt>
                <c:pt idx="1">
                  <c:v>0.17</c:v>
                </c:pt>
                <c:pt idx="2">
                  <c:v>0.15</c:v>
                </c:pt>
                <c:pt idx="3">
                  <c:v>0.15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D2CB-4A6A-A5CE-C61B545B5F83}"/>
            </c:ext>
          </c:extLst>
        </c:ser>
        <c:ser>
          <c:idx val="2"/>
          <c:order val="1"/>
          <c:tx>
            <c:v>Ea=70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xVal>
            <c:numRef>
              <c:f>(Conserv!$L$35,Conserv!$L$32,Conserv!$L$25,Conserv!$L$33)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</c:numRef>
          </c:xVal>
          <c:yVal>
            <c:numRef>
              <c:f>(Conserv!$M$35,Conserv!$M$32,Conserv!$M$25,Conserv!$M$33)</c:f>
              <c:numCache>
                <c:formatCode>General</c:formatCode>
                <c:ptCount val="4"/>
                <c:pt idx="0">
                  <c:v>0.71</c:v>
                </c:pt>
                <c:pt idx="1">
                  <c:v>0.67</c:v>
                </c:pt>
                <c:pt idx="2">
                  <c:v>0.62</c:v>
                </c:pt>
                <c:pt idx="3">
                  <c:v>0.6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0D-4736-B4DC-5312311E1CB9}"/>
            </c:ext>
          </c:extLst>
        </c:ser>
        <c:ser>
          <c:idx val="1"/>
          <c:order val="2"/>
          <c:tx>
            <c:v>Ea=48,axi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('Tests-Axi'!$P$16,'Tests-Axi'!$P$17,'Tests-Axi'!$P$12,'Tests-Axi'!$P$18)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</c:numRef>
          </c:xVal>
          <c:yVal>
            <c:numRef>
              <c:f>('Tests-Axi'!$S$16,'Tests-Axi'!$S$17,'Tests-Axi'!$S$12,'Tests-Axi'!$S$18)</c:f>
              <c:numCache>
                <c:formatCode>General</c:formatCode>
                <c:ptCount val="4"/>
                <c:pt idx="0">
                  <c:v>0.21</c:v>
                </c:pt>
                <c:pt idx="1">
                  <c:v>0.19</c:v>
                </c:pt>
                <c:pt idx="2">
                  <c:v>0.18</c:v>
                </c:pt>
                <c:pt idx="3">
                  <c:v>0.17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D91-4FBB-8651-5701EF1E22B2}"/>
            </c:ext>
          </c:extLst>
        </c:ser>
        <c:ser>
          <c:idx val="3"/>
          <c:order val="3"/>
          <c:tx>
            <c:v>Ea=70,axi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'Tests-Axi'!$P$5</c:f>
              <c:numCache>
                <c:formatCode>General</c:formatCode>
                <c:ptCount val="1"/>
                <c:pt idx="0">
                  <c:v>4.7</c:v>
                </c:pt>
              </c:numCache>
            </c:numRef>
          </c:xVal>
          <c:yVal>
            <c:numRef>
              <c:f>'Tests-Axi'!$S$5</c:f>
              <c:numCache>
                <c:formatCode>General</c:formatCode>
                <c:ptCount val="1"/>
                <c:pt idx="0">
                  <c:v>3.1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D91-4FBB-8651-5701EF1E2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594208"/>
        <c:axId val="391592568"/>
        <c:extLst/>
      </c:scatterChart>
      <c:valAx>
        <c:axId val="39159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Enthalpy</a:t>
                </a:r>
                <a:r>
                  <a:rPr lang="en-CA" baseline="0"/>
                  <a:t> of Combustion (kJ/g)</a:t>
                </a:r>
                <a:endParaRPr lang="en-CA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2568"/>
        <c:crosses val="autoZero"/>
        <c:crossBetween val="midCat"/>
      </c:valAx>
      <c:valAx>
        <c:axId val="39159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4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Ignition delay vs. Thermal Conductivity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Ea=48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(Conserv!$D$26,Conserv!$D$21,Conserv!$D$27,Conserv!$D$13)</c:f>
              <c:numCache>
                <c:formatCode>General</c:formatCode>
                <c:ptCount val="4"/>
                <c:pt idx="0">
                  <c:v>65</c:v>
                </c:pt>
                <c:pt idx="1">
                  <c:v>78</c:v>
                </c:pt>
                <c:pt idx="2">
                  <c:v>100</c:v>
                </c:pt>
                <c:pt idx="3">
                  <c:v>156</c:v>
                </c:pt>
              </c:numCache>
            </c:numRef>
          </c:xVal>
          <c:yVal>
            <c:numRef>
              <c:f>(Conserv!$M$26,Conserv!$M$21,Conserv!$M$27,Conserv!$M$13)</c:f>
              <c:numCache>
                <c:formatCode>General</c:formatCode>
                <c:ptCount val="4"/>
                <c:pt idx="0">
                  <c:v>0.15</c:v>
                </c:pt>
                <c:pt idx="1">
                  <c:v>0.18</c:v>
                </c:pt>
                <c:pt idx="2">
                  <c:v>0.24</c:v>
                </c:pt>
                <c:pt idx="3">
                  <c:v>0.48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03-4F07-BB48-633EBE5C4254}"/>
            </c:ext>
          </c:extLst>
        </c:ser>
        <c:ser>
          <c:idx val="2"/>
          <c:order val="1"/>
          <c:tx>
            <c:v>Ea=70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xVal>
            <c:numRef>
              <c:f>(Conserv!$D$25,Conserv!$D$19,Conserv!$D$34,Conserv!$D$31)</c:f>
              <c:numCache>
                <c:formatCode>General</c:formatCode>
                <c:ptCount val="4"/>
                <c:pt idx="0">
                  <c:v>65</c:v>
                </c:pt>
                <c:pt idx="1">
                  <c:v>78</c:v>
                </c:pt>
                <c:pt idx="2">
                  <c:v>100</c:v>
                </c:pt>
                <c:pt idx="3">
                  <c:v>156</c:v>
                </c:pt>
              </c:numCache>
            </c:numRef>
          </c:xVal>
          <c:yVal>
            <c:numRef>
              <c:f>(Conserv!$M$25,Conserv!$M$19,Conserv!$M$34,Conserv!$M$31)</c:f>
              <c:numCache>
                <c:formatCode>General</c:formatCode>
                <c:ptCount val="4"/>
                <c:pt idx="0">
                  <c:v>0.62</c:v>
                </c:pt>
                <c:pt idx="1">
                  <c:v>0.85</c:v>
                </c:pt>
                <c:pt idx="2">
                  <c:v>1.4</c:v>
                </c:pt>
                <c:pt idx="3">
                  <c:v>4.0999999999999996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926-48B4-A13B-DC079EAA164D}"/>
            </c:ext>
          </c:extLst>
        </c:ser>
        <c:ser>
          <c:idx val="1"/>
          <c:order val="2"/>
          <c:tx>
            <c:v>Ea=48,axi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('Tests-Axi'!$E$12,'Tests-Axi'!$E$13,'Tests-Axi'!$E$14,'Tests-Axi'!$E$15)</c:f>
              <c:numCache>
                <c:formatCode>General</c:formatCode>
                <c:ptCount val="4"/>
                <c:pt idx="0">
                  <c:v>65</c:v>
                </c:pt>
                <c:pt idx="1">
                  <c:v>78</c:v>
                </c:pt>
                <c:pt idx="2">
                  <c:v>100</c:v>
                </c:pt>
                <c:pt idx="3">
                  <c:v>156</c:v>
                </c:pt>
              </c:numCache>
            </c:numRef>
          </c:xVal>
          <c:yVal>
            <c:numRef>
              <c:f>('Tests-Axi'!$S$12,'Tests-Axi'!$S$13,'Tests-Axi'!$S$14,'Tests-Axi'!$S$15)</c:f>
              <c:numCache>
                <c:formatCode>General</c:formatCode>
                <c:ptCount val="4"/>
                <c:pt idx="0">
                  <c:v>0.18</c:v>
                </c:pt>
                <c:pt idx="1">
                  <c:v>0.24</c:v>
                </c:pt>
                <c:pt idx="2">
                  <c:v>0.45</c:v>
                </c:pt>
                <c:pt idx="3">
                  <c:v>6.1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22-4104-A786-BA761AE19B72}"/>
            </c:ext>
          </c:extLst>
        </c:ser>
        <c:ser>
          <c:idx val="3"/>
          <c:order val="3"/>
          <c:tx>
            <c:v>Ea=70,axi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'Tests-Axi'!$E$5</c:f>
              <c:numCache>
                <c:formatCode>General</c:formatCode>
                <c:ptCount val="1"/>
                <c:pt idx="0">
                  <c:v>65</c:v>
                </c:pt>
              </c:numCache>
            </c:numRef>
          </c:xVal>
          <c:yVal>
            <c:numRef>
              <c:f>'Tests-Axi'!$S$5</c:f>
              <c:numCache>
                <c:formatCode>General</c:formatCode>
                <c:ptCount val="1"/>
                <c:pt idx="0">
                  <c:v>3.1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B22-4104-A786-BA761AE19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594208"/>
        <c:axId val="391592568"/>
        <c:extLst/>
      </c:scatterChart>
      <c:valAx>
        <c:axId val="39159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000" b="0" i="0" baseline="0">
                    <a:effectLst/>
                  </a:rPr>
                  <a:t>Thermal Conductivity (W/m/K)</a:t>
                </a:r>
                <a:endParaRPr lang="en-CA" sz="4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2568"/>
        <c:crosses val="autoZero"/>
        <c:crossBetween val="midCat"/>
      </c:valAx>
      <c:valAx>
        <c:axId val="39159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4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b="1"/>
              <a:t>Peak Temperature vs Enthalpy of Combustion</a:t>
            </a: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Ea=70</c:v>
          </c:tx>
          <c:xVal>
            <c:numRef>
              <c:f>(Conserv!$L$35,Conserv!$L$32,Conserv!$L$25,Conserv!$L$33)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</c:numRef>
          </c:xVal>
          <c:yVal>
            <c:numRef>
              <c:f>(Conserv!$O$35,Conserv!$O$32,Conserv!$O$25,Conserv!$O$33)</c:f>
              <c:numCache>
                <c:formatCode>General</c:formatCode>
                <c:ptCount val="4"/>
                <c:pt idx="0">
                  <c:v>6000</c:v>
                </c:pt>
                <c:pt idx="1">
                  <c:v>6600</c:v>
                </c:pt>
                <c:pt idx="2">
                  <c:v>7800</c:v>
                </c:pt>
                <c:pt idx="3">
                  <c:v>8100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7CF-4567-BBB6-DDC134EB9488}"/>
            </c:ext>
          </c:extLst>
        </c:ser>
        <c:ser>
          <c:idx val="1"/>
          <c:order val="1"/>
          <c:tx>
            <c:v>Ea=48</c:v>
          </c:tx>
          <c:xVal>
            <c:numRef>
              <c:f>(Conserv!$L$29,Conserv!$L$28,Conserv!$L$26,Conserv!$L$30)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</c:numRef>
          </c:xVal>
          <c:yVal>
            <c:numRef>
              <c:f>(Conserv!$O$29,Conserv!$O$28,Conserv!$O$26,Conserv!$O$30)</c:f>
              <c:numCache>
                <c:formatCode>General</c:formatCode>
                <c:ptCount val="4"/>
                <c:pt idx="0">
                  <c:v>5900</c:v>
                </c:pt>
                <c:pt idx="1">
                  <c:v>7600</c:v>
                </c:pt>
                <c:pt idx="2">
                  <c:v>7800</c:v>
                </c:pt>
                <c:pt idx="3">
                  <c:v>8500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CB-44CA-9F4B-0FA14CB546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10720"/>
        <c:axId val="539914000"/>
      </c:scatterChart>
      <c:valAx>
        <c:axId val="539910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914000"/>
        <c:crosses val="autoZero"/>
        <c:crossBetween val="midCat"/>
      </c:valAx>
      <c:valAx>
        <c:axId val="539914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910720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Burn rate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Graphs!$H$44</c:f>
              <c:strCache>
                <c:ptCount val="1"/>
                <c:pt idx="0">
                  <c:v>40nm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Graphs!$L$44:$L$48</c:f>
              <c:numCache>
                <c:formatCode>General</c:formatCode>
                <c:ptCount val="5"/>
                <c:pt idx="0">
                  <c:v>2.76</c:v>
                </c:pt>
                <c:pt idx="1">
                  <c:v>3.95</c:v>
                </c:pt>
                <c:pt idx="2">
                  <c:v>4.92</c:v>
                </c:pt>
                <c:pt idx="3">
                  <c:v>7.05</c:v>
                </c:pt>
                <c:pt idx="4">
                  <c:v>12.9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2-4D45-A439-B972C8504A79}"/>
            </c:ext>
          </c:extLst>
        </c:ser>
        <c:ser>
          <c:idx val="1"/>
          <c:order val="1"/>
          <c:tx>
            <c:strRef>
              <c:f>Graphs!$P$54</c:f>
              <c:strCache>
                <c:ptCount val="1"/>
                <c:pt idx="0">
                  <c:v>100nm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Graphs!$R$54:$R$58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Graphs!$T$54:$T$58</c:f>
              <c:numCache>
                <c:formatCode>General</c:formatCode>
                <c:ptCount val="5"/>
                <c:pt idx="0">
                  <c:v>3.14</c:v>
                </c:pt>
                <c:pt idx="1">
                  <c:v>4.5</c:v>
                </c:pt>
                <c:pt idx="2">
                  <c:v>6.12</c:v>
                </c:pt>
                <c:pt idx="3">
                  <c:v>8.64</c:v>
                </c:pt>
                <c:pt idx="4">
                  <c:v>15.24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10-4633-BD6C-D7945355002F}"/>
            </c:ext>
          </c:extLst>
        </c:ser>
        <c:ser>
          <c:idx val="2"/>
          <c:order val="2"/>
          <c:tx>
            <c:strRef>
              <c:f>Graphs!$P$44</c:f>
              <c:strCache>
                <c:ptCount val="1"/>
                <c:pt idx="0">
                  <c:v>1um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Graphs!$R$44:$R$51</c:f>
              <c:numCache>
                <c:formatCode>General</c:formatCode>
                <c:ptCount val="8"/>
                <c:pt idx="0">
                  <c:v>0.9</c:v>
                </c:pt>
                <c:pt idx="1">
                  <c:v>0.8</c:v>
                </c:pt>
                <c:pt idx="2">
                  <c:v>0.75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0.30000000000000004</c:v>
                </c:pt>
                <c:pt idx="7">
                  <c:v>9.9999999999999978E-2</c:v>
                </c:pt>
              </c:numCache>
            </c:numRef>
          </c:xVal>
          <c:yVal>
            <c:numRef>
              <c:f>Graphs!$T$44:$T$51</c:f>
              <c:numCache>
                <c:formatCode>General</c:formatCode>
                <c:ptCount val="8"/>
                <c:pt idx="0">
                  <c:v>5.25</c:v>
                </c:pt>
                <c:pt idx="1">
                  <c:v>5.99</c:v>
                </c:pt>
                <c:pt idx="2">
                  <c:v>6.33</c:v>
                </c:pt>
                <c:pt idx="3">
                  <c:v>6.93</c:v>
                </c:pt>
                <c:pt idx="4">
                  <c:v>7.28</c:v>
                </c:pt>
                <c:pt idx="5">
                  <c:v>8.09</c:v>
                </c:pt>
                <c:pt idx="6">
                  <c:v>10.53</c:v>
                </c:pt>
                <c:pt idx="7">
                  <c:v>17.27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72-4D45-A439-B972C8504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tx1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Graphs!$C$44:$C$73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Graphs!$E$44:$E$73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7DCB-481B-A2EA-A351D10E2E41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Burn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rate [m/s]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b="0">
                <a:solidFill>
                  <a:sysClr val="windowText" lastClr="000000"/>
                </a:solidFill>
              </a:rPr>
              <a:t>Ignition delay</a:t>
            </a:r>
            <a:r>
              <a:rPr lang="en-CA" b="0" baseline="0">
                <a:solidFill>
                  <a:sysClr val="windowText" lastClr="000000"/>
                </a:solidFill>
              </a:rPr>
              <a:t> </a:t>
            </a:r>
            <a:r>
              <a:rPr lang="en-CA" b="0">
                <a:solidFill>
                  <a:sysClr val="windowText" lastClr="000000"/>
                </a:solidFill>
              </a:rPr>
              <a:t>versus %TMD</a:t>
            </a:r>
          </a:p>
        </c:rich>
      </c:tx>
      <c:layout>
        <c:manualLayout>
          <c:xMode val="edge"/>
          <c:yMode val="edge"/>
          <c:x val="0.22725865933251183"/>
          <c:y val="3.88614372058179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Graphs!$H$44</c:f>
              <c:strCache>
                <c:ptCount val="1"/>
                <c:pt idx="0">
                  <c:v>40nm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Graphs!$K$44:$K$48</c:f>
              <c:numCache>
                <c:formatCode>General</c:formatCode>
                <c:ptCount val="5"/>
                <c:pt idx="0">
                  <c:v>0.27157999999999999</c:v>
                </c:pt>
                <c:pt idx="1">
                  <c:v>0.23105000000000001</c:v>
                </c:pt>
                <c:pt idx="2">
                  <c:v>0.17995</c:v>
                </c:pt>
                <c:pt idx="3">
                  <c:v>0.12307700000000001</c:v>
                </c:pt>
                <c:pt idx="4">
                  <c:v>6.3833000000000001E-2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D5-4C06-B4AC-6071AB40D92A}"/>
            </c:ext>
          </c:extLst>
        </c:ser>
        <c:ser>
          <c:idx val="1"/>
          <c:order val="1"/>
          <c:tx>
            <c:strRef>
              <c:f>Graphs!$P$54</c:f>
              <c:strCache>
                <c:ptCount val="1"/>
                <c:pt idx="0">
                  <c:v>100nm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Graphs!$R$54:$R$58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Graphs!$S$54:$S$58</c:f>
              <c:numCache>
                <c:formatCode>General</c:formatCode>
                <c:ptCount val="5"/>
                <c:pt idx="0">
                  <c:v>0.26662000000000002</c:v>
                </c:pt>
                <c:pt idx="1">
                  <c:v>0.22092000000000001</c:v>
                </c:pt>
                <c:pt idx="2">
                  <c:v>0.17083999999999999</c:v>
                </c:pt>
                <c:pt idx="3">
                  <c:v>0.11011600000000001</c:v>
                </c:pt>
                <c:pt idx="4">
                  <c:v>6.3862000000000002E-2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22-4E54-98E5-8321CDE378AE}"/>
            </c:ext>
          </c:extLst>
        </c:ser>
        <c:ser>
          <c:idx val="2"/>
          <c:order val="2"/>
          <c:tx>
            <c:strRef>
              <c:f>Graphs!$P$44</c:f>
              <c:strCache>
                <c:ptCount val="1"/>
                <c:pt idx="0">
                  <c:v>1um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Graphs!$R$44:$R$51</c:f>
              <c:numCache>
                <c:formatCode>General</c:formatCode>
                <c:ptCount val="8"/>
                <c:pt idx="0">
                  <c:v>0.9</c:v>
                </c:pt>
                <c:pt idx="1">
                  <c:v>0.8</c:v>
                </c:pt>
                <c:pt idx="2">
                  <c:v>0.75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0.30000000000000004</c:v>
                </c:pt>
                <c:pt idx="7">
                  <c:v>9.9999999999999978E-2</c:v>
                </c:pt>
              </c:numCache>
            </c:numRef>
          </c:xVal>
          <c:yVal>
            <c:numRef>
              <c:f>Graphs!$S$44:$S$51</c:f>
              <c:numCache>
                <c:formatCode>General</c:formatCode>
                <c:ptCount val="8"/>
                <c:pt idx="0">
                  <c:v>0.2175</c:v>
                </c:pt>
                <c:pt idx="1">
                  <c:v>0.212534</c:v>
                </c:pt>
                <c:pt idx="2">
                  <c:v>0.19870399999999999</c:v>
                </c:pt>
                <c:pt idx="3">
                  <c:v>0.19134000000000001</c:v>
                </c:pt>
                <c:pt idx="4">
                  <c:v>0.14635600000000001</c:v>
                </c:pt>
                <c:pt idx="5">
                  <c:v>0.145952</c:v>
                </c:pt>
                <c:pt idx="6">
                  <c:v>0.109858</c:v>
                </c:pt>
                <c:pt idx="7">
                  <c:v>5.8112999999999998E-2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D5-4C06-B4AC-6071AB40D9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Ignition Delay [ms]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Inst Burn rate versus Time for</a:t>
            </a:r>
            <a:r>
              <a:rPr lang="en-CA" baseline="0">
                <a:solidFill>
                  <a:sysClr val="windowText" lastClr="000000"/>
                </a:solidFill>
              </a:rPr>
              <a:t> Different Mesh</a:t>
            </a:r>
            <a:endParaRPr lang="en-CA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Graphs!$B$130</c:f>
              <c:strCache>
                <c:ptCount val="1"/>
                <c:pt idx="0">
                  <c:v>60000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Graphs!$D$131:$D$147</c:f>
              <c:numCache>
                <c:formatCode>General</c:formatCode>
                <c:ptCount val="17"/>
                <c:pt idx="0">
                  <c:v>1.0711534252301032E-2</c:v>
                </c:pt>
                <c:pt idx="1">
                  <c:v>7.2540904037662224E-2</c:v>
                </c:pt>
                <c:pt idx="2">
                  <c:v>0.13437151043515147</c:v>
                </c:pt>
                <c:pt idx="3">
                  <c:v>0.19620088022051266</c:v>
                </c:pt>
                <c:pt idx="4">
                  <c:v>0.2580314866180019</c:v>
                </c:pt>
                <c:pt idx="5">
                  <c:v>0.31986332962761904</c:v>
                </c:pt>
                <c:pt idx="6">
                  <c:v>0.38169393602510826</c:v>
                </c:pt>
                <c:pt idx="7">
                  <c:v>0.44352454242259737</c:v>
                </c:pt>
                <c:pt idx="8">
                  <c:v>0.50535514882008659</c:v>
                </c:pt>
                <c:pt idx="9">
                  <c:v>0.56718575521757586</c:v>
                </c:pt>
                <c:pt idx="10">
                  <c:v>0.62901636161506502</c:v>
                </c:pt>
                <c:pt idx="11">
                  <c:v>0.69084573140042616</c:v>
                </c:pt>
                <c:pt idx="12">
                  <c:v>0.75267633779791543</c:v>
                </c:pt>
                <c:pt idx="13">
                  <c:v>0.81450818080753251</c:v>
                </c:pt>
                <c:pt idx="14">
                  <c:v>0.87634002381714959</c:v>
                </c:pt>
                <c:pt idx="15">
                  <c:v>0.93816939360251106</c:v>
                </c:pt>
                <c:pt idx="16">
                  <c:v>1</c:v>
                </c:pt>
              </c:numCache>
            </c:numRef>
          </c:xVal>
          <c:yVal>
            <c:numRef>
              <c:f>Graphs!$E$131:$E$147</c:f>
              <c:numCache>
                <c:formatCode>General</c:formatCode>
                <c:ptCount val="17"/>
                <c:pt idx="0">
                  <c:v>5.96</c:v>
                </c:pt>
                <c:pt idx="1">
                  <c:v>6.59</c:v>
                </c:pt>
                <c:pt idx="2">
                  <c:v>6.85</c:v>
                </c:pt>
                <c:pt idx="3">
                  <c:v>6.8</c:v>
                </c:pt>
                <c:pt idx="4">
                  <c:v>6.76</c:v>
                </c:pt>
                <c:pt idx="5">
                  <c:v>6.69</c:v>
                </c:pt>
                <c:pt idx="6">
                  <c:v>6.7</c:v>
                </c:pt>
                <c:pt idx="7">
                  <c:v>6.64</c:v>
                </c:pt>
                <c:pt idx="8">
                  <c:v>6.61</c:v>
                </c:pt>
                <c:pt idx="9">
                  <c:v>6.6</c:v>
                </c:pt>
                <c:pt idx="10">
                  <c:v>6.6</c:v>
                </c:pt>
                <c:pt idx="11">
                  <c:v>6.59</c:v>
                </c:pt>
                <c:pt idx="12">
                  <c:v>6.58</c:v>
                </c:pt>
                <c:pt idx="13">
                  <c:v>6.57</c:v>
                </c:pt>
                <c:pt idx="14">
                  <c:v>6.57</c:v>
                </c:pt>
                <c:pt idx="15">
                  <c:v>6.6</c:v>
                </c:pt>
                <c:pt idx="16">
                  <c:v>6.91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36-41A9-90DE-15D538ABA945}"/>
            </c:ext>
          </c:extLst>
        </c:ser>
        <c:ser>
          <c:idx val="1"/>
          <c:order val="1"/>
          <c:tx>
            <c:strRef>
              <c:f>Graphs!$G$130</c:f>
              <c:strCache>
                <c:ptCount val="1"/>
                <c:pt idx="0">
                  <c:v>119000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Graphs!$I$131:$I$150</c:f>
              <c:numCache>
                <c:formatCode>General</c:formatCode>
                <c:ptCount val="20"/>
                <c:pt idx="0">
                  <c:v>2.5661636644865853E-2</c:v>
                </c:pt>
                <c:pt idx="1">
                  <c:v>8.6557784354561698E-2</c:v>
                </c:pt>
                <c:pt idx="2">
                  <c:v>0.14745393206425764</c:v>
                </c:pt>
                <c:pt idx="3">
                  <c:v>0.20834886185099927</c:v>
                </c:pt>
                <c:pt idx="4">
                  <c:v>0.26924500956069525</c:v>
                </c:pt>
                <c:pt idx="5">
                  <c:v>0.33014237519334527</c:v>
                </c:pt>
                <c:pt idx="6">
                  <c:v>0.3910385229030412</c:v>
                </c:pt>
                <c:pt idx="7">
                  <c:v>0.45193345268978291</c:v>
                </c:pt>
                <c:pt idx="8">
                  <c:v>0.51282960039947867</c:v>
                </c:pt>
                <c:pt idx="9">
                  <c:v>0.57372574810917465</c:v>
                </c:pt>
                <c:pt idx="10">
                  <c:v>0.63462311374182467</c:v>
                </c:pt>
                <c:pt idx="11">
                  <c:v>0.6955180435285665</c:v>
                </c:pt>
                <c:pt idx="12">
                  <c:v>0.75641419123826237</c:v>
                </c:pt>
                <c:pt idx="13">
                  <c:v>0.81731033894795813</c:v>
                </c:pt>
                <c:pt idx="14">
                  <c:v>0.878206486657654</c:v>
                </c:pt>
                <c:pt idx="15">
                  <c:v>0.93910385229030402</c:v>
                </c:pt>
                <c:pt idx="16">
                  <c:v>1</c:v>
                </c:pt>
              </c:numCache>
            </c:numRef>
          </c:xVal>
          <c:yVal>
            <c:numRef>
              <c:f>Graphs!$J$131:$J$150</c:f>
              <c:numCache>
                <c:formatCode>General</c:formatCode>
                <c:ptCount val="20"/>
                <c:pt idx="0">
                  <c:v>5.15</c:v>
                </c:pt>
                <c:pt idx="1">
                  <c:v>6.48</c:v>
                </c:pt>
                <c:pt idx="2">
                  <c:v>6.94</c:v>
                </c:pt>
                <c:pt idx="3">
                  <c:v>7.04</c:v>
                </c:pt>
                <c:pt idx="4">
                  <c:v>6.95</c:v>
                </c:pt>
                <c:pt idx="5">
                  <c:v>6.9</c:v>
                </c:pt>
                <c:pt idx="6">
                  <c:v>6.86</c:v>
                </c:pt>
                <c:pt idx="7">
                  <c:v>6.83</c:v>
                </c:pt>
                <c:pt idx="8">
                  <c:v>6.81</c:v>
                </c:pt>
                <c:pt idx="9">
                  <c:v>6.8</c:v>
                </c:pt>
                <c:pt idx="10">
                  <c:v>6.78</c:v>
                </c:pt>
                <c:pt idx="11">
                  <c:v>6.77</c:v>
                </c:pt>
                <c:pt idx="12">
                  <c:v>6.77</c:v>
                </c:pt>
                <c:pt idx="13">
                  <c:v>6.76</c:v>
                </c:pt>
                <c:pt idx="14">
                  <c:v>6.75</c:v>
                </c:pt>
                <c:pt idx="15">
                  <c:v>6.76</c:v>
                </c:pt>
                <c:pt idx="16">
                  <c:v>6.99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136-41A9-90DE-15D538ABA945}"/>
            </c:ext>
          </c:extLst>
        </c:ser>
        <c:ser>
          <c:idx val="2"/>
          <c:order val="2"/>
          <c:tx>
            <c:strRef>
              <c:f>Graphs!$L$130</c:f>
              <c:strCache>
                <c:ptCount val="1"/>
                <c:pt idx="0">
                  <c:v>240000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Graphs!$N$131:$N$148</c:f>
              <c:numCache>
                <c:formatCode>General</c:formatCode>
                <c:ptCount val="18"/>
                <c:pt idx="0">
                  <c:v>2.8546924093215322E-2</c:v>
                </c:pt>
                <c:pt idx="1">
                  <c:v>9.7935239977351193E-2</c:v>
                </c:pt>
                <c:pt idx="2">
                  <c:v>0.16732494365556058</c:v>
                </c:pt>
                <c:pt idx="3">
                  <c:v>0.23671464733376998</c:v>
                </c:pt>
                <c:pt idx="4">
                  <c:v>0.30610296321790587</c:v>
                </c:pt>
                <c:pt idx="5">
                  <c:v>0.37549405469018876</c:v>
                </c:pt>
                <c:pt idx="6">
                  <c:v>0.44488375836839827</c:v>
                </c:pt>
                <c:pt idx="7">
                  <c:v>0.51427207425253418</c:v>
                </c:pt>
                <c:pt idx="8">
                  <c:v>0.58366177793074348</c:v>
                </c:pt>
                <c:pt idx="9">
                  <c:v>0.65305148160895288</c:v>
                </c:pt>
                <c:pt idx="10">
                  <c:v>0.72244118528716239</c:v>
                </c:pt>
                <c:pt idx="11">
                  <c:v>0.79183088896537168</c:v>
                </c:pt>
                <c:pt idx="12">
                  <c:v>0.8612205926435812</c:v>
                </c:pt>
                <c:pt idx="13">
                  <c:v>0.93061029632179049</c:v>
                </c:pt>
                <c:pt idx="14">
                  <c:v>1</c:v>
                </c:pt>
              </c:numCache>
            </c:numRef>
          </c:xVal>
          <c:yVal>
            <c:numRef>
              <c:f>Graphs!$O$131:$O$148</c:f>
              <c:numCache>
                <c:formatCode>General</c:formatCode>
                <c:ptCount val="18"/>
                <c:pt idx="0">
                  <c:v>3.33</c:v>
                </c:pt>
                <c:pt idx="1">
                  <c:v>6.2</c:v>
                </c:pt>
                <c:pt idx="2">
                  <c:v>6.93</c:v>
                </c:pt>
                <c:pt idx="3">
                  <c:v>7.16</c:v>
                </c:pt>
                <c:pt idx="4">
                  <c:v>7.1</c:v>
                </c:pt>
                <c:pt idx="5">
                  <c:v>7.03</c:v>
                </c:pt>
                <c:pt idx="6">
                  <c:v>6.99</c:v>
                </c:pt>
                <c:pt idx="7">
                  <c:v>6.95</c:v>
                </c:pt>
                <c:pt idx="8">
                  <c:v>6.93</c:v>
                </c:pt>
                <c:pt idx="9">
                  <c:v>6.91</c:v>
                </c:pt>
                <c:pt idx="10">
                  <c:v>6.9</c:v>
                </c:pt>
                <c:pt idx="11">
                  <c:v>6.89</c:v>
                </c:pt>
                <c:pt idx="12">
                  <c:v>6.88</c:v>
                </c:pt>
                <c:pt idx="13">
                  <c:v>6.87</c:v>
                </c:pt>
                <c:pt idx="14">
                  <c:v>6.86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136-41A9-90DE-15D538ABA9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Graphs!$Q$130</c15:sqref>
                        </c15:formulaRef>
                      </c:ext>
                    </c:extLst>
                    <c:strCache>
                      <c:ptCount val="1"/>
                      <c:pt idx="0">
                        <c:v>0.25 TMD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Graphs!$S$131:$S$146</c15:sqref>
                        </c15:formulaRef>
                      </c:ext>
                    </c:extLst>
                    <c:numCache>
                      <c:formatCode>General</c:formatCode>
                      <c:ptCount val="16"/>
                      <c:pt idx="0">
                        <c:v>5.4373522458628837E-2</c:v>
                      </c:pt>
                      <c:pt idx="1">
                        <c:v>0.11741791436826896</c:v>
                      </c:pt>
                      <c:pt idx="2">
                        <c:v>0.18045967953769376</c:v>
                      </c:pt>
                      <c:pt idx="3">
                        <c:v>0.24350144470711849</c:v>
                      </c:pt>
                      <c:pt idx="4">
                        <c:v>0.30654320987654321</c:v>
                      </c:pt>
                      <c:pt idx="5">
                        <c:v>0.36958497504596793</c:v>
                      </c:pt>
                      <c:pt idx="6">
                        <c:v>0.43262674021539266</c:v>
                      </c:pt>
                      <c:pt idx="7">
                        <c:v>0.49566850538481749</c:v>
                      </c:pt>
                      <c:pt idx="8">
                        <c:v>0.55871027055424216</c:v>
                      </c:pt>
                      <c:pt idx="9">
                        <c:v>0.62174940898345166</c:v>
                      </c:pt>
                      <c:pt idx="10">
                        <c:v>0.68479117415287627</c:v>
                      </c:pt>
                      <c:pt idx="11">
                        <c:v>0.7478329393223011</c:v>
                      </c:pt>
                      <c:pt idx="12">
                        <c:v>0.81087470449172572</c:v>
                      </c:pt>
                      <c:pt idx="13">
                        <c:v>0.87391646966115055</c:v>
                      </c:pt>
                      <c:pt idx="14">
                        <c:v>0.93695823483057539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Graphs!$T$131:$T$146</c15:sqref>
                        </c15:formulaRef>
                      </c:ext>
                    </c:extLst>
                    <c:numCache>
                      <c:formatCode>General</c:formatCode>
                      <c:ptCount val="16"/>
                      <c:pt idx="0">
                        <c:v>10.09</c:v>
                      </c:pt>
                      <c:pt idx="1">
                        <c:v>13.14</c:v>
                      </c:pt>
                      <c:pt idx="2">
                        <c:v>15.88</c:v>
                      </c:pt>
                      <c:pt idx="3">
                        <c:v>17.91</c:v>
                      </c:pt>
                      <c:pt idx="4">
                        <c:v>19.53</c:v>
                      </c:pt>
                      <c:pt idx="5">
                        <c:v>21.19</c:v>
                      </c:pt>
                      <c:pt idx="6">
                        <c:v>20.82</c:v>
                      </c:pt>
                      <c:pt idx="7">
                        <c:v>21.58</c:v>
                      </c:pt>
                      <c:pt idx="8">
                        <c:v>22.19</c:v>
                      </c:pt>
                      <c:pt idx="9">
                        <c:v>22</c:v>
                      </c:pt>
                      <c:pt idx="10">
                        <c:v>22.43</c:v>
                      </c:pt>
                      <c:pt idx="11">
                        <c:v>21.59</c:v>
                      </c:pt>
                      <c:pt idx="12">
                        <c:v>4.99</c:v>
                      </c:pt>
                      <c:pt idx="13">
                        <c:v>6.16</c:v>
                      </c:pt>
                      <c:pt idx="14">
                        <c:v>0.98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7-5136-41A9-90DE-15D538ABA945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Graphs!$V$130</c15:sqref>
                        </c15:formulaRef>
                      </c:ext>
                    </c:extLst>
                    <c:strCache>
                      <c:ptCount val="1"/>
                      <c:pt idx="0">
                        <c:v>0.1 TMD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Graphs!$X$131:$X$143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5.4373308221795841E-2</c:v>
                      </c:pt>
                      <c:pt idx="1">
                        <c:v>0.13317520419541298</c:v>
                      </c:pt>
                      <c:pt idx="2">
                        <c:v>0.21197710016903007</c:v>
                      </c:pt>
                      <c:pt idx="3">
                        <c:v>0.29078293623744583</c:v>
                      </c:pt>
                      <c:pt idx="4">
                        <c:v>0.36958483221106303</c:v>
                      </c:pt>
                      <c:pt idx="5">
                        <c:v>0.44838672818468012</c:v>
                      </c:pt>
                      <c:pt idx="6">
                        <c:v>0.52718862415829726</c:v>
                      </c:pt>
                      <c:pt idx="7">
                        <c:v>0.60599052013191446</c:v>
                      </c:pt>
                      <c:pt idx="8">
                        <c:v>0.68479241610553143</c:v>
                      </c:pt>
                      <c:pt idx="9">
                        <c:v>0.76359431207914863</c:v>
                      </c:pt>
                      <c:pt idx="10">
                        <c:v>0.84239620805276583</c:v>
                      </c:pt>
                      <c:pt idx="11">
                        <c:v>0.92119810402638302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Graphs!$Y$131:$Y$143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12.66</c:v>
                      </c:pt>
                      <c:pt idx="1">
                        <c:v>18.73</c:v>
                      </c:pt>
                      <c:pt idx="2">
                        <c:v>26.11</c:v>
                      </c:pt>
                      <c:pt idx="3">
                        <c:v>32.01</c:v>
                      </c:pt>
                      <c:pt idx="4">
                        <c:v>34.24</c:v>
                      </c:pt>
                      <c:pt idx="5">
                        <c:v>34.49</c:v>
                      </c:pt>
                      <c:pt idx="6">
                        <c:v>34.46</c:v>
                      </c:pt>
                      <c:pt idx="7">
                        <c:v>34.42</c:v>
                      </c:pt>
                      <c:pt idx="8">
                        <c:v>34.43</c:v>
                      </c:pt>
                      <c:pt idx="9">
                        <c:v>34.47</c:v>
                      </c:pt>
                      <c:pt idx="10">
                        <c:v>3.61</c:v>
                      </c:pt>
                      <c:pt idx="11">
                        <c:v>0.01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5136-41A9-90DE-15D538ABA945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Time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Burn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rate [m/s]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Burn rate versus Time for 1um (2D)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Graphs!$AC$130</c:f>
              <c:strCache>
                <c:ptCount val="1"/>
                <c:pt idx="0">
                  <c:v>0.99 TMD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Graphs!$AE$131:$AE$136</c:f>
              <c:numCache>
                <c:formatCode>General</c:formatCode>
                <c:ptCount val="6"/>
                <c:pt idx="0">
                  <c:v>0.16666527777546283</c:v>
                </c:pt>
                <c:pt idx="1">
                  <c:v>0.33333222222037034</c:v>
                </c:pt>
                <c:pt idx="2">
                  <c:v>0.49999916666527783</c:v>
                </c:pt>
                <c:pt idx="3">
                  <c:v>0.66666611111018503</c:v>
                </c:pt>
                <c:pt idx="4">
                  <c:v>0.83333305555509252</c:v>
                </c:pt>
              </c:numCache>
            </c:numRef>
          </c:xVal>
          <c:yVal>
            <c:numRef>
              <c:f>Graphs!$AF$131:$AF$136</c:f>
              <c:numCache>
                <c:formatCode>General</c:formatCode>
                <c:ptCount val="6"/>
                <c:pt idx="0">
                  <c:v>4.37</c:v>
                </c:pt>
                <c:pt idx="1">
                  <c:v>4.1900000000000004</c:v>
                </c:pt>
                <c:pt idx="2">
                  <c:v>4.22</c:v>
                </c:pt>
                <c:pt idx="3">
                  <c:v>4.5199999999999996</c:v>
                </c:pt>
                <c:pt idx="4">
                  <c:v>4.6900000000000004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D6-477F-8A50-12C36225E190}"/>
            </c:ext>
          </c:extLst>
        </c:ser>
        <c:ser>
          <c:idx val="1"/>
          <c:order val="1"/>
          <c:tx>
            <c:strRef>
              <c:f>Graphs!$AH$130</c:f>
              <c:strCache>
                <c:ptCount val="1"/>
                <c:pt idx="0">
                  <c:v>0.9 TMD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Graphs!$AJ$131:$AJ$146</c:f>
              <c:numCache>
                <c:formatCode>General</c:formatCode>
                <c:ptCount val="16"/>
                <c:pt idx="0">
                  <c:v>3.827417429316262E-2</c:v>
                </c:pt>
                <c:pt idx="1">
                  <c:v>0.10238931482713921</c:v>
                </c:pt>
                <c:pt idx="2">
                  <c:v>0.16650317305830503</c:v>
                </c:pt>
                <c:pt idx="3">
                  <c:v>0.23061831359228163</c:v>
                </c:pt>
                <c:pt idx="4">
                  <c:v>0.29473345412625812</c:v>
                </c:pt>
                <c:pt idx="5">
                  <c:v>0.35884859466023467</c:v>
                </c:pt>
                <c:pt idx="6">
                  <c:v>0.42296373519421127</c:v>
                </c:pt>
                <c:pt idx="7">
                  <c:v>0.4870788757281877</c:v>
                </c:pt>
                <c:pt idx="8">
                  <c:v>0.55119401626216435</c:v>
                </c:pt>
                <c:pt idx="9">
                  <c:v>0.61530915679614073</c:v>
                </c:pt>
                <c:pt idx="10">
                  <c:v>0.67942429733011733</c:v>
                </c:pt>
                <c:pt idx="11">
                  <c:v>0.74353943786409393</c:v>
                </c:pt>
                <c:pt idx="12">
                  <c:v>0.80765457839807053</c:v>
                </c:pt>
                <c:pt idx="13">
                  <c:v>0.87176971893204713</c:v>
                </c:pt>
                <c:pt idx="14">
                  <c:v>0.9358848594660234</c:v>
                </c:pt>
                <c:pt idx="15">
                  <c:v>1</c:v>
                </c:pt>
              </c:numCache>
            </c:numRef>
          </c:xVal>
          <c:yVal>
            <c:numRef>
              <c:f>Graphs!$AK$131:$AK$146</c:f>
              <c:numCache>
                <c:formatCode>General</c:formatCode>
                <c:ptCount val="16"/>
                <c:pt idx="0">
                  <c:v>6.05</c:v>
                </c:pt>
                <c:pt idx="1">
                  <c:v>6.76</c:v>
                </c:pt>
                <c:pt idx="2">
                  <c:v>6.94</c:v>
                </c:pt>
                <c:pt idx="3">
                  <c:v>6.84</c:v>
                </c:pt>
                <c:pt idx="4">
                  <c:v>6.56</c:v>
                </c:pt>
                <c:pt idx="5">
                  <c:v>6.5</c:v>
                </c:pt>
                <c:pt idx="6">
                  <c:v>6.49</c:v>
                </c:pt>
                <c:pt idx="7">
                  <c:v>6.8</c:v>
                </c:pt>
                <c:pt idx="8">
                  <c:v>7.04</c:v>
                </c:pt>
                <c:pt idx="9">
                  <c:v>7.27</c:v>
                </c:pt>
                <c:pt idx="10">
                  <c:v>7.3</c:v>
                </c:pt>
                <c:pt idx="11">
                  <c:v>7.02</c:v>
                </c:pt>
                <c:pt idx="12">
                  <c:v>6.89</c:v>
                </c:pt>
                <c:pt idx="13">
                  <c:v>7</c:v>
                </c:pt>
                <c:pt idx="14">
                  <c:v>7.27</c:v>
                </c:pt>
                <c:pt idx="15">
                  <c:v>7.38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0D6-477F-8A50-12C36225E190}"/>
            </c:ext>
          </c:extLst>
        </c:ser>
        <c:ser>
          <c:idx val="2"/>
          <c:order val="2"/>
          <c:tx>
            <c:strRef>
              <c:f>Graphs!$AM$130</c:f>
              <c:strCache>
                <c:ptCount val="1"/>
                <c:pt idx="0">
                  <c:v>0.5 TMD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Graphs!$AO$131:$AO$143</c:f>
              <c:numCache>
                <c:formatCode>General</c:formatCode>
                <c:ptCount val="13"/>
                <c:pt idx="0">
                  <c:v>2.3212658547778972E-3</c:v>
                </c:pt>
                <c:pt idx="1">
                  <c:v>8.5461160366879715E-2</c:v>
                </c:pt>
                <c:pt idx="2">
                  <c:v>0.16860105487898164</c:v>
                </c:pt>
                <c:pt idx="3">
                  <c:v>0.25173762379530296</c:v>
                </c:pt>
                <c:pt idx="4">
                  <c:v>0.33487751830740475</c:v>
                </c:pt>
                <c:pt idx="5">
                  <c:v>0.41802073841528709</c:v>
                </c:pt>
                <c:pt idx="6">
                  <c:v>0.50116063292738899</c:v>
                </c:pt>
                <c:pt idx="7">
                  <c:v>0.58429720184371037</c:v>
                </c:pt>
                <c:pt idx="8">
                  <c:v>0.66744042195159259</c:v>
                </c:pt>
                <c:pt idx="9">
                  <c:v>0.75057699086791396</c:v>
                </c:pt>
                <c:pt idx="10">
                  <c:v>0.83372021097579618</c:v>
                </c:pt>
                <c:pt idx="11">
                  <c:v>0.91686010548789809</c:v>
                </c:pt>
              </c:numCache>
            </c:numRef>
          </c:xVal>
          <c:yVal>
            <c:numRef>
              <c:f>Graphs!$AP$131:$AP$143</c:f>
              <c:numCache>
                <c:formatCode>General</c:formatCode>
                <c:ptCount val="13"/>
                <c:pt idx="0">
                  <c:v>6.9</c:v>
                </c:pt>
                <c:pt idx="1">
                  <c:v>9.6199999999999992</c:v>
                </c:pt>
                <c:pt idx="2">
                  <c:v>17.39</c:v>
                </c:pt>
                <c:pt idx="3">
                  <c:v>30.77</c:v>
                </c:pt>
                <c:pt idx="4">
                  <c:v>33.630000000000003</c:v>
                </c:pt>
                <c:pt idx="5">
                  <c:v>33.46</c:v>
                </c:pt>
                <c:pt idx="6">
                  <c:v>33.39</c:v>
                </c:pt>
                <c:pt idx="7">
                  <c:v>33.119999999999997</c:v>
                </c:pt>
                <c:pt idx="8">
                  <c:v>32.93</c:v>
                </c:pt>
                <c:pt idx="9">
                  <c:v>1.52</c:v>
                </c:pt>
                <c:pt idx="10">
                  <c:v>1.83</c:v>
                </c:pt>
                <c:pt idx="11">
                  <c:v>0.15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0D6-477F-8A50-12C36225E190}"/>
            </c:ext>
          </c:extLst>
        </c:ser>
        <c:ser>
          <c:idx val="3"/>
          <c:order val="3"/>
          <c:tx>
            <c:strRef>
              <c:f>Graphs!$AR$130</c:f>
              <c:strCache>
                <c:ptCount val="1"/>
                <c:pt idx="0">
                  <c:v>0.25 TMD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Graphs!$AT$131:$AT$142</c:f>
              <c:numCache>
                <c:formatCode>General</c:formatCode>
                <c:ptCount val="12"/>
                <c:pt idx="0">
                  <c:v>1.1767953393093404E-3</c:v>
                </c:pt>
                <c:pt idx="1">
                  <c:v>9.1982536938298151E-2</c:v>
                </c:pt>
                <c:pt idx="2">
                  <c:v>0.18278101436852578</c:v>
                </c:pt>
                <c:pt idx="3">
                  <c:v>0.27358312388313399</c:v>
                </c:pt>
                <c:pt idx="4">
                  <c:v>0.36438523339774231</c:v>
                </c:pt>
                <c:pt idx="5">
                  <c:v>0.45518734291235047</c:v>
                </c:pt>
                <c:pt idx="6">
                  <c:v>0.54598945242695884</c:v>
                </c:pt>
                <c:pt idx="7">
                  <c:v>0.63679156194156716</c:v>
                </c:pt>
                <c:pt idx="8">
                  <c:v>0.72759367145617526</c:v>
                </c:pt>
                <c:pt idx="9">
                  <c:v>0.81839578097078358</c:v>
                </c:pt>
                <c:pt idx="10">
                  <c:v>0.90919789048539168</c:v>
                </c:pt>
              </c:numCache>
            </c:numRef>
          </c:xVal>
          <c:yVal>
            <c:numRef>
              <c:f>Graphs!$AU$131:$AU$142</c:f>
              <c:numCache>
                <c:formatCode>General</c:formatCode>
                <c:ptCount val="12"/>
                <c:pt idx="0">
                  <c:v>7.38</c:v>
                </c:pt>
                <c:pt idx="1">
                  <c:v>10.99</c:v>
                </c:pt>
                <c:pt idx="2">
                  <c:v>18.39</c:v>
                </c:pt>
                <c:pt idx="3">
                  <c:v>34.08</c:v>
                </c:pt>
                <c:pt idx="4">
                  <c:v>35.44</c:v>
                </c:pt>
                <c:pt idx="5">
                  <c:v>34.15</c:v>
                </c:pt>
                <c:pt idx="6">
                  <c:v>34</c:v>
                </c:pt>
                <c:pt idx="7">
                  <c:v>34.01</c:v>
                </c:pt>
                <c:pt idx="8">
                  <c:v>29.89</c:v>
                </c:pt>
                <c:pt idx="9">
                  <c:v>3.49</c:v>
                </c:pt>
                <c:pt idx="10">
                  <c:v>0.02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0D6-477F-8A50-12C36225E190}"/>
            </c:ext>
          </c:extLst>
        </c:ser>
        <c:ser>
          <c:idx val="4"/>
          <c:order val="4"/>
          <c:tx>
            <c:strRef>
              <c:f>Graphs!$AW$130</c:f>
              <c:strCache>
                <c:ptCount val="1"/>
                <c:pt idx="0">
                  <c:v>0.1 TMD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Graphs!$AY$131:$AY$142</c:f>
              <c:numCache>
                <c:formatCode>General</c:formatCode>
                <c:ptCount val="12"/>
                <c:pt idx="0">
                  <c:v>0.11687822339448452</c:v>
                </c:pt>
                <c:pt idx="1">
                  <c:v>0.41125214892965645</c:v>
                </c:pt>
                <c:pt idx="2">
                  <c:v>0.70562607446482828</c:v>
                </c:pt>
                <c:pt idx="3">
                  <c:v>1</c:v>
                </c:pt>
              </c:numCache>
            </c:numRef>
          </c:xVal>
          <c:yVal>
            <c:numRef>
              <c:f>Graphs!$AZ$131:$AZ$142</c:f>
              <c:numCache>
                <c:formatCode>General</c:formatCode>
                <c:ptCount val="12"/>
                <c:pt idx="0">
                  <c:v>15.09</c:v>
                </c:pt>
                <c:pt idx="1">
                  <c:v>78.650000000000006</c:v>
                </c:pt>
                <c:pt idx="2">
                  <c:v>105.17</c:v>
                </c:pt>
                <c:pt idx="3">
                  <c:v>9.68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0D6-477F-8A50-12C36225E1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Time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logBase val="10"/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Burn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rate [m/s]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Burn rate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Graphs!$H$46</c:f>
              <c:strCache>
                <c:ptCount val="1"/>
                <c:pt idx="0">
                  <c:v>10^(-5)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Graphs!$L$44:$L$48</c:f>
              <c:numCache>
                <c:formatCode>General</c:formatCode>
                <c:ptCount val="5"/>
                <c:pt idx="0">
                  <c:v>2.76</c:v>
                </c:pt>
                <c:pt idx="1">
                  <c:v>3.95</c:v>
                </c:pt>
                <c:pt idx="2">
                  <c:v>4.92</c:v>
                </c:pt>
                <c:pt idx="3">
                  <c:v>7.05</c:v>
                </c:pt>
                <c:pt idx="4">
                  <c:v>12.9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63-4AC0-A1A9-2D0181FD03D4}"/>
            </c:ext>
          </c:extLst>
        </c:ser>
        <c:ser>
          <c:idx val="2"/>
          <c:order val="1"/>
          <c:tx>
            <c:strRef>
              <c:f>Graphs!$AF$45</c:f>
              <c:strCache>
                <c:ptCount val="1"/>
                <c:pt idx="0">
                  <c:v>10^-4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Graphs!$AH$44:$AH$48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Graphs!$AJ$44:$AJ$48</c:f>
              <c:numCache>
                <c:formatCode>General</c:formatCode>
                <c:ptCount val="5"/>
                <c:pt idx="0">
                  <c:v>2.65</c:v>
                </c:pt>
                <c:pt idx="1">
                  <c:v>3.15</c:v>
                </c:pt>
                <c:pt idx="2">
                  <c:v>4</c:v>
                </c:pt>
                <c:pt idx="3">
                  <c:v>5.43</c:v>
                </c:pt>
                <c:pt idx="4">
                  <c:v>9.69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63-4AC0-A1A9-2D0181FD03D4}"/>
            </c:ext>
          </c:extLst>
        </c:ser>
        <c:ser>
          <c:idx val="1"/>
          <c:order val="3"/>
          <c:tx>
            <c:strRef>
              <c:f>Graphs!$AF$50</c:f>
              <c:strCache>
                <c:ptCount val="1"/>
                <c:pt idx="0">
                  <c:v>10^-3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Graphs!$AH$49:$AH$53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Graphs!$AJ$49:$AJ$53</c:f>
              <c:numCache>
                <c:formatCode>General</c:formatCode>
                <c:ptCount val="5"/>
                <c:pt idx="0">
                  <c:v>2.64</c:v>
                </c:pt>
                <c:pt idx="1">
                  <c:v>3.03</c:v>
                </c:pt>
                <c:pt idx="2">
                  <c:v>3.64</c:v>
                </c:pt>
                <c:pt idx="3">
                  <c:v>4.76</c:v>
                </c:pt>
                <c:pt idx="4">
                  <c:v>8.0299999999999994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B-411E-8D51-95960D0E34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2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tx1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Graphs!$C$44:$C$73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Graphs!$E$44:$E$73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BE63-4AC0-A1A9-2D0181FD03D4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Burn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rate [m/s]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Ignition delay</a:t>
            </a:r>
            <a:r>
              <a:rPr lang="en-CA" baseline="0">
                <a:solidFill>
                  <a:sysClr val="windowText" lastClr="000000"/>
                </a:solidFill>
              </a:rPr>
              <a:t> </a:t>
            </a:r>
            <a:r>
              <a:rPr lang="en-CA">
                <a:solidFill>
                  <a:sysClr val="windowText" lastClr="000000"/>
                </a:solidFill>
              </a:rPr>
              <a:t>versus %TMD</a:t>
            </a:r>
          </a:p>
        </c:rich>
      </c:tx>
      <c:layout>
        <c:manualLayout>
          <c:xMode val="edge"/>
          <c:yMode val="edge"/>
          <c:x val="0.21646035577150902"/>
          <c:y val="2.335755492789473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Graphs!$H$46</c:f>
              <c:strCache>
                <c:ptCount val="1"/>
                <c:pt idx="0">
                  <c:v>10^(-5)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Graphs!$K$44:$K$48</c:f>
              <c:numCache>
                <c:formatCode>General</c:formatCode>
                <c:ptCount val="5"/>
                <c:pt idx="0">
                  <c:v>0.27157999999999999</c:v>
                </c:pt>
                <c:pt idx="1">
                  <c:v>0.23105000000000001</c:v>
                </c:pt>
                <c:pt idx="2">
                  <c:v>0.17995</c:v>
                </c:pt>
                <c:pt idx="3">
                  <c:v>0.12307700000000001</c:v>
                </c:pt>
                <c:pt idx="4">
                  <c:v>6.3833000000000001E-2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0E-43BE-AD33-69A3F225CB94}"/>
            </c:ext>
          </c:extLst>
        </c:ser>
        <c:ser>
          <c:idx val="2"/>
          <c:order val="1"/>
          <c:tx>
            <c:strRef>
              <c:f>Graphs!$AF$45</c:f>
              <c:strCache>
                <c:ptCount val="1"/>
                <c:pt idx="0">
                  <c:v>10^-4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Graphs!$AH$44:$AH$48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Graphs!$AI$44:$AI$48</c:f>
              <c:numCache>
                <c:formatCode>General</c:formatCode>
                <c:ptCount val="5"/>
                <c:pt idx="0">
                  <c:v>0.18476000000000001</c:v>
                </c:pt>
                <c:pt idx="1">
                  <c:v>0.20646999999999999</c:v>
                </c:pt>
                <c:pt idx="2">
                  <c:v>0.18787999999999999</c:v>
                </c:pt>
                <c:pt idx="3">
                  <c:v>0.13026399999999999</c:v>
                </c:pt>
                <c:pt idx="4">
                  <c:v>6.2459000000000001E-2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0E-43BE-AD33-69A3F225CB94}"/>
            </c:ext>
          </c:extLst>
        </c:ser>
        <c:ser>
          <c:idx val="1"/>
          <c:order val="2"/>
          <c:tx>
            <c:strRef>
              <c:f>Graphs!$AF$50</c:f>
              <c:strCache>
                <c:ptCount val="1"/>
                <c:pt idx="0">
                  <c:v>10^-3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Graphs!$AH$49:$AH$53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Graphs!$AI$49:$AI$53</c:f>
              <c:numCache>
                <c:formatCode>General</c:formatCode>
                <c:ptCount val="5"/>
                <c:pt idx="0">
                  <c:v>0.17743</c:v>
                </c:pt>
                <c:pt idx="1">
                  <c:v>0.15656</c:v>
                </c:pt>
                <c:pt idx="2">
                  <c:v>0.13728000000000001</c:v>
                </c:pt>
                <c:pt idx="3">
                  <c:v>0.104134</c:v>
                </c:pt>
                <c:pt idx="4">
                  <c:v>5.5454000000000003E-2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F3-4603-AA91-CD635C6E8B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Ignition Delay [ms]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Burn rate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Graphs!$H$48</c:f>
              <c:strCache>
                <c:ptCount val="1"/>
                <c:pt idx="0">
                  <c:v>48 kJ/mol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Graphs!$L$44:$L$48</c:f>
              <c:numCache>
                <c:formatCode>General</c:formatCode>
                <c:ptCount val="5"/>
                <c:pt idx="0">
                  <c:v>2.76</c:v>
                </c:pt>
                <c:pt idx="1">
                  <c:v>3.95</c:v>
                </c:pt>
                <c:pt idx="2">
                  <c:v>4.92</c:v>
                </c:pt>
                <c:pt idx="3">
                  <c:v>7.05</c:v>
                </c:pt>
                <c:pt idx="4">
                  <c:v>12.9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E8-442E-BABC-88C8087A4E63}"/>
            </c:ext>
          </c:extLst>
        </c:ser>
        <c:ser>
          <c:idx val="2"/>
          <c:order val="1"/>
          <c:tx>
            <c:strRef>
              <c:f>Graphs!$AV$44</c:f>
              <c:strCache>
                <c:ptCount val="1"/>
                <c:pt idx="0">
                  <c:v>70 kJ/mol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Graphs!$AX$44:$AX$51</c:f>
              <c:numCache>
                <c:formatCode>General</c:formatCode>
                <c:ptCount val="8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0.25</c:v>
                </c:pt>
                <c:pt idx="5">
                  <c:v>0.19999999999999996</c:v>
                </c:pt>
                <c:pt idx="6">
                  <c:v>0.15000000000000002</c:v>
                </c:pt>
                <c:pt idx="7">
                  <c:v>9.9999999999999978E-2</c:v>
                </c:pt>
              </c:numCache>
            </c:numRef>
          </c:xVal>
          <c:yVal>
            <c:numRef>
              <c:f>Graphs!$AZ$44:$AZ$51</c:f>
              <c:numCache>
                <c:formatCode>General</c:formatCode>
                <c:ptCount val="8"/>
                <c:pt idx="0">
                  <c:v>1.36</c:v>
                </c:pt>
                <c:pt idx="1">
                  <c:v>1.79</c:v>
                </c:pt>
                <c:pt idx="2">
                  <c:v>2.4500000000000002</c:v>
                </c:pt>
                <c:pt idx="3">
                  <c:v>3.28</c:v>
                </c:pt>
                <c:pt idx="4">
                  <c:v>3.95</c:v>
                </c:pt>
                <c:pt idx="5">
                  <c:v>4.24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E8-442E-BABC-88C8087A4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2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tx1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Graphs!$C$44:$C$73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Graphs!$E$44:$E$73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35E8-442E-BABC-88C8087A4E63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Burn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rate [m/s]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Ignition delay</a:t>
            </a:r>
            <a:r>
              <a:rPr lang="en-CA" baseline="0">
                <a:solidFill>
                  <a:sysClr val="windowText" lastClr="000000"/>
                </a:solidFill>
              </a:rPr>
              <a:t> </a:t>
            </a:r>
            <a:r>
              <a:rPr lang="en-CA">
                <a:solidFill>
                  <a:sysClr val="windowText" lastClr="000000"/>
                </a:solidFill>
              </a:rPr>
              <a:t>versus %TMD</a:t>
            </a:r>
          </a:p>
        </c:rich>
      </c:tx>
      <c:layout>
        <c:manualLayout>
          <c:xMode val="edge"/>
          <c:yMode val="edge"/>
          <c:x val="0.19486374864950354"/>
          <c:y val="1.81895941685870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Graphs!$H$48</c:f>
              <c:strCache>
                <c:ptCount val="1"/>
                <c:pt idx="0">
                  <c:v>48 kJ/mol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Graphs!$K$44:$K$48</c:f>
              <c:numCache>
                <c:formatCode>General</c:formatCode>
                <c:ptCount val="5"/>
                <c:pt idx="0">
                  <c:v>0.27157999999999999</c:v>
                </c:pt>
                <c:pt idx="1">
                  <c:v>0.23105000000000001</c:v>
                </c:pt>
                <c:pt idx="2">
                  <c:v>0.17995</c:v>
                </c:pt>
                <c:pt idx="3">
                  <c:v>0.12307700000000001</c:v>
                </c:pt>
                <c:pt idx="4">
                  <c:v>6.3833000000000001E-2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07-4ED8-B3AB-AB9DE7980C10}"/>
            </c:ext>
          </c:extLst>
        </c:ser>
        <c:ser>
          <c:idx val="2"/>
          <c:order val="1"/>
          <c:tx>
            <c:strRef>
              <c:f>Graphs!$AV$44</c:f>
              <c:strCache>
                <c:ptCount val="1"/>
                <c:pt idx="0">
                  <c:v>70 kJ/mol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Graphs!$AX$44:$AX$51</c:f>
              <c:numCache>
                <c:formatCode>General</c:formatCode>
                <c:ptCount val="8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0.25</c:v>
                </c:pt>
                <c:pt idx="5">
                  <c:v>0.19999999999999996</c:v>
                </c:pt>
                <c:pt idx="6">
                  <c:v>0.15000000000000002</c:v>
                </c:pt>
                <c:pt idx="7">
                  <c:v>9.9999999999999978E-2</c:v>
                </c:pt>
              </c:numCache>
            </c:numRef>
          </c:xVal>
          <c:yVal>
            <c:numRef>
              <c:f>Graphs!$AY$44:$AY$51</c:f>
              <c:numCache>
                <c:formatCode>General</c:formatCode>
                <c:ptCount val="8"/>
                <c:pt idx="0">
                  <c:v>0.91620000000000001</c:v>
                </c:pt>
                <c:pt idx="1">
                  <c:v>0.64676999999999996</c:v>
                </c:pt>
                <c:pt idx="2">
                  <c:v>0.53386</c:v>
                </c:pt>
                <c:pt idx="3">
                  <c:v>0.46990799999999999</c:v>
                </c:pt>
                <c:pt idx="4">
                  <c:v>0.58612600000000004</c:v>
                </c:pt>
                <c:pt idx="5">
                  <c:v>0.88736400000000004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07-4ED8-B3AB-AB9DE798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Ignition Delay [ms]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Burn rate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Graphs!$X$49</c:f>
              <c:strCache>
                <c:ptCount val="1"/>
                <c:pt idx="0">
                  <c:v>16971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Graphs!$Z$49:$Z$53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Graphs!$AB$49:$AB$53</c:f>
              <c:numCache>
                <c:formatCode>General</c:formatCode>
                <c:ptCount val="5"/>
                <c:pt idx="0">
                  <c:v>3.49</c:v>
                </c:pt>
                <c:pt idx="1">
                  <c:v>4.3099999999999996</c:v>
                </c:pt>
                <c:pt idx="2">
                  <c:v>5.28</c:v>
                </c:pt>
                <c:pt idx="3">
                  <c:v>7.01</c:v>
                </c:pt>
                <c:pt idx="4">
                  <c:v>12.34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83-4C92-938B-9808D3E9081F}"/>
            </c:ext>
          </c:extLst>
        </c:ser>
        <c:ser>
          <c:idx val="2"/>
          <c:order val="1"/>
          <c:tx>
            <c:strRef>
              <c:f>Graphs!$X$44</c:f>
              <c:strCache>
                <c:ptCount val="1"/>
                <c:pt idx="0">
                  <c:v>8431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Graphs!$Z$44:$Z$48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Graphs!$AB$44:$AB$48</c:f>
              <c:numCache>
                <c:formatCode>General</c:formatCode>
                <c:ptCount val="5"/>
                <c:pt idx="0">
                  <c:v>3.37</c:v>
                </c:pt>
                <c:pt idx="1">
                  <c:v>4.62</c:v>
                </c:pt>
                <c:pt idx="2">
                  <c:v>5.73</c:v>
                </c:pt>
                <c:pt idx="3">
                  <c:v>7.57</c:v>
                </c:pt>
                <c:pt idx="4">
                  <c:v>13.17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F37-4340-88C4-EE11E769D751}"/>
            </c:ext>
          </c:extLst>
        </c:ser>
        <c:ser>
          <c:idx val="5"/>
          <c:order val="2"/>
          <c:tx>
            <c:strRef>
              <c:f>Graphs!$X$59</c:f>
              <c:strCache>
                <c:ptCount val="1"/>
                <c:pt idx="0">
                  <c:v>8078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Graphs!$Z$59:$Z$63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Graphs!$AB$59:$AB$63</c:f>
              <c:numCache>
                <c:formatCode>General</c:formatCode>
                <c:ptCount val="5"/>
                <c:pt idx="0">
                  <c:v>3.42</c:v>
                </c:pt>
                <c:pt idx="1">
                  <c:v>4.47</c:v>
                </c:pt>
                <c:pt idx="2">
                  <c:v>5.87</c:v>
                </c:pt>
                <c:pt idx="3">
                  <c:v>8.2899999999999991</c:v>
                </c:pt>
                <c:pt idx="4">
                  <c:v>15.16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974-4C85-97BF-774917BB38DA}"/>
            </c:ext>
          </c:extLst>
        </c:ser>
        <c:ser>
          <c:idx val="0"/>
          <c:order val="3"/>
          <c:tx>
            <c:strRef>
              <c:f>Graphs!$H$45</c:f>
              <c:strCache>
                <c:ptCount val="1"/>
                <c:pt idx="0">
                  <c:v>5250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Graphs!$L$44:$L$48</c:f>
              <c:numCache>
                <c:formatCode>General</c:formatCode>
                <c:ptCount val="5"/>
                <c:pt idx="0">
                  <c:v>2.76</c:v>
                </c:pt>
                <c:pt idx="1">
                  <c:v>3.95</c:v>
                </c:pt>
                <c:pt idx="2">
                  <c:v>4.92</c:v>
                </c:pt>
                <c:pt idx="3">
                  <c:v>7.05</c:v>
                </c:pt>
                <c:pt idx="4">
                  <c:v>12.9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37-4340-88C4-EE11E769D751}"/>
            </c:ext>
          </c:extLst>
        </c:ser>
        <c:ser>
          <c:idx val="6"/>
          <c:order val="4"/>
          <c:tx>
            <c:strRef>
              <c:f>Graphs!$X$64</c:f>
              <c:strCache>
                <c:ptCount val="1"/>
                <c:pt idx="0">
                  <c:v>525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Graphs!$Z$64:$Z$68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Graphs!$AB$64:$AB$68</c:f>
              <c:numCache>
                <c:formatCode>General</c:formatCode>
                <c:ptCount val="5"/>
                <c:pt idx="0">
                  <c:v>2.65</c:v>
                </c:pt>
                <c:pt idx="1">
                  <c:v>3.15</c:v>
                </c:pt>
                <c:pt idx="2">
                  <c:v>4</c:v>
                </c:pt>
                <c:pt idx="3">
                  <c:v>5.43</c:v>
                </c:pt>
                <c:pt idx="4">
                  <c:v>9.69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20-458F-B43B-4D66528B16B3}"/>
            </c:ext>
          </c:extLst>
        </c:ser>
        <c:ser>
          <c:idx val="4"/>
          <c:order val="5"/>
          <c:tx>
            <c:strRef>
              <c:f>Graphs!$X$54</c:f>
              <c:strCache>
                <c:ptCount val="1"/>
                <c:pt idx="0">
                  <c:v>80.8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Graphs!$Z$54:$Z$58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Graphs!$AB$54:$AB$58</c:f>
              <c:numCache>
                <c:formatCode>General</c:formatCode>
                <c:ptCount val="5"/>
                <c:pt idx="0">
                  <c:v>0.64</c:v>
                </c:pt>
                <c:pt idx="1">
                  <c:v>0.81</c:v>
                </c:pt>
                <c:pt idx="2">
                  <c:v>0.96</c:v>
                </c:pt>
                <c:pt idx="3">
                  <c:v>1.18</c:v>
                </c:pt>
                <c:pt idx="4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74-4C85-97BF-774917BB38DA}"/>
            </c:ext>
          </c:extLst>
        </c:ser>
        <c:ser>
          <c:idx val="7"/>
          <c:order val="6"/>
          <c:tx>
            <c:strRef>
              <c:f>Graphs!$X$69</c:f>
              <c:strCache>
                <c:ptCount val="1"/>
                <c:pt idx="0">
                  <c:v>52.5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Graphs!$Z$69:$Z$73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Graphs!$AB$69:$AB$73</c:f>
              <c:numCache>
                <c:formatCode>General</c:formatCode>
                <c:ptCount val="5"/>
                <c:pt idx="0">
                  <c:v>2.64</c:v>
                </c:pt>
                <c:pt idx="1">
                  <c:v>3.03</c:v>
                </c:pt>
                <c:pt idx="2">
                  <c:v>3.64</c:v>
                </c:pt>
                <c:pt idx="3">
                  <c:v>4.76</c:v>
                </c:pt>
                <c:pt idx="4">
                  <c:v>8.0299999999999994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20-458F-B43B-4D66528B16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7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tx1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Graphs!$C$44:$C$73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Graphs!$E$44:$E$73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6F37-4340-88C4-EE11E769D751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Burn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rate [m/s]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Ignition delay</a:t>
            </a:r>
            <a:r>
              <a:rPr lang="en-CA" baseline="0">
                <a:solidFill>
                  <a:sysClr val="windowText" lastClr="000000"/>
                </a:solidFill>
              </a:rPr>
              <a:t> </a:t>
            </a:r>
            <a:r>
              <a:rPr lang="en-CA">
                <a:solidFill>
                  <a:sysClr val="windowText" lastClr="000000"/>
                </a:solidFill>
              </a:rPr>
              <a:t>versus %TMD</a:t>
            </a:r>
          </a:p>
        </c:rich>
      </c:tx>
      <c:layout>
        <c:manualLayout>
          <c:xMode val="edge"/>
          <c:yMode val="edge"/>
          <c:x val="0.23085809385284606"/>
          <c:y val="2.852551568720245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Graphs!$X$49</c:f>
              <c:strCache>
                <c:ptCount val="1"/>
                <c:pt idx="0">
                  <c:v>16971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Graphs!$Z$49:$Z$53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Graphs!$AA$49:$AA$53</c:f>
              <c:numCache>
                <c:formatCode>General</c:formatCode>
                <c:ptCount val="5"/>
                <c:pt idx="0">
                  <c:v>0.16874</c:v>
                </c:pt>
                <c:pt idx="1">
                  <c:v>0.21782000000000001</c:v>
                </c:pt>
                <c:pt idx="2">
                  <c:v>0.12575</c:v>
                </c:pt>
                <c:pt idx="3">
                  <c:v>9.4036999999999996E-2</c:v>
                </c:pt>
                <c:pt idx="4">
                  <c:v>5.5808999999999997E-2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FC-47B3-A659-79F25FAEA57D}"/>
            </c:ext>
          </c:extLst>
        </c:ser>
        <c:ser>
          <c:idx val="2"/>
          <c:order val="1"/>
          <c:tx>
            <c:strRef>
              <c:f>Graphs!$X$44</c:f>
              <c:strCache>
                <c:ptCount val="1"/>
                <c:pt idx="0">
                  <c:v>8431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Graphs!$Z$44:$Z$48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Graphs!$AA$44:$AA$48</c:f>
              <c:numCache>
                <c:formatCode>General</c:formatCode>
                <c:ptCount val="5"/>
                <c:pt idx="0">
                  <c:v>0.24177999999999999</c:v>
                </c:pt>
                <c:pt idx="1">
                  <c:v>0.19311</c:v>
                </c:pt>
                <c:pt idx="2">
                  <c:v>0.12945000000000001</c:v>
                </c:pt>
                <c:pt idx="3">
                  <c:v>9.7641000000000006E-2</c:v>
                </c:pt>
                <c:pt idx="4">
                  <c:v>5.8831000000000001E-2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51-41B4-A59A-3EF3CD295123}"/>
            </c:ext>
          </c:extLst>
        </c:ser>
        <c:ser>
          <c:idx val="4"/>
          <c:order val="2"/>
          <c:tx>
            <c:strRef>
              <c:f>Graphs!$X$59</c:f>
              <c:strCache>
                <c:ptCount val="1"/>
                <c:pt idx="0">
                  <c:v>8078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noFill/>
              </a:ln>
              <a:effectLst/>
            </c:spPr>
          </c:marker>
          <c:xVal>
            <c:numRef>
              <c:f>Graphs!$Z$59:$Z$63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Graphs!$AA$59:$AA$63</c:f>
              <c:numCache>
                <c:formatCode>General</c:formatCode>
                <c:ptCount val="5"/>
                <c:pt idx="0">
                  <c:v>0.26504</c:v>
                </c:pt>
                <c:pt idx="1">
                  <c:v>0.29774</c:v>
                </c:pt>
                <c:pt idx="2">
                  <c:v>0.23356299999999999</c:v>
                </c:pt>
                <c:pt idx="3">
                  <c:v>0.166348</c:v>
                </c:pt>
                <c:pt idx="4">
                  <c:v>0.14632500000000001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76B-4728-AD77-2780FB684455}"/>
            </c:ext>
          </c:extLst>
        </c:ser>
        <c:ser>
          <c:idx val="0"/>
          <c:order val="3"/>
          <c:tx>
            <c:strRef>
              <c:f>Graphs!$H$45</c:f>
              <c:strCache>
                <c:ptCount val="1"/>
                <c:pt idx="0">
                  <c:v>5250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Graphs!$K$44:$K$48</c:f>
              <c:numCache>
                <c:formatCode>General</c:formatCode>
                <c:ptCount val="5"/>
                <c:pt idx="0">
                  <c:v>0.27157999999999999</c:v>
                </c:pt>
                <c:pt idx="1">
                  <c:v>0.23105000000000001</c:v>
                </c:pt>
                <c:pt idx="2">
                  <c:v>0.17995</c:v>
                </c:pt>
                <c:pt idx="3">
                  <c:v>0.12307700000000001</c:v>
                </c:pt>
                <c:pt idx="4">
                  <c:v>6.3833000000000001E-2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51-41B4-A59A-3EF3CD295123}"/>
            </c:ext>
          </c:extLst>
        </c:ser>
        <c:ser>
          <c:idx val="5"/>
          <c:order val="4"/>
          <c:tx>
            <c:strRef>
              <c:f>Graphs!$X$64</c:f>
              <c:strCache>
                <c:ptCount val="1"/>
                <c:pt idx="0">
                  <c:v>525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Graphs!$Z$64:$Z$68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Graphs!$AA$64:$AA$68</c:f>
              <c:numCache>
                <c:formatCode>General</c:formatCode>
                <c:ptCount val="5"/>
                <c:pt idx="0">
                  <c:v>0.18476000000000001</c:v>
                </c:pt>
                <c:pt idx="1">
                  <c:v>0.20646999999999999</c:v>
                </c:pt>
                <c:pt idx="2">
                  <c:v>0.18787999999999999</c:v>
                </c:pt>
                <c:pt idx="3">
                  <c:v>0.13026399999999999</c:v>
                </c:pt>
                <c:pt idx="4">
                  <c:v>6.2459000000000001E-2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35-4C2D-B6FC-C2EE6F4C496F}"/>
            </c:ext>
          </c:extLst>
        </c:ser>
        <c:ser>
          <c:idx val="3"/>
          <c:order val="5"/>
          <c:tx>
            <c:strRef>
              <c:f>Graphs!$X$54</c:f>
              <c:strCache>
                <c:ptCount val="1"/>
                <c:pt idx="0">
                  <c:v>80.8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Graphs!$Z$54:$Z$58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Graphs!$AA$54:$AA$58</c:f>
              <c:numCache>
                <c:formatCode>General</c:formatCode>
                <c:ptCount val="5"/>
                <c:pt idx="0">
                  <c:v>2.1899999999999999E-2</c:v>
                </c:pt>
                <c:pt idx="1">
                  <c:v>1.813E-2</c:v>
                </c:pt>
                <c:pt idx="2">
                  <c:v>1.4120000000000001E-2</c:v>
                </c:pt>
                <c:pt idx="3">
                  <c:v>9.7199999999999995E-3</c:v>
                </c:pt>
                <c:pt idx="4">
                  <c:v>4.5100000000000001E-3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6B-4728-AD77-2780FB684455}"/>
            </c:ext>
          </c:extLst>
        </c:ser>
        <c:ser>
          <c:idx val="6"/>
          <c:order val="6"/>
          <c:tx>
            <c:strRef>
              <c:f>Graphs!$X$69</c:f>
              <c:strCache>
                <c:ptCount val="1"/>
                <c:pt idx="0">
                  <c:v>52.5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Graphs!$Z$69:$Z$73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Graphs!$AA$69:$AA$73</c:f>
              <c:numCache>
                <c:formatCode>General</c:formatCode>
                <c:ptCount val="5"/>
                <c:pt idx="0">
                  <c:v>0.17743</c:v>
                </c:pt>
                <c:pt idx="1">
                  <c:v>0.15656</c:v>
                </c:pt>
                <c:pt idx="2">
                  <c:v>0.13728000000000001</c:v>
                </c:pt>
                <c:pt idx="3">
                  <c:v>0.104134</c:v>
                </c:pt>
                <c:pt idx="4">
                  <c:v>5.5454000000000003E-2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235-4C2D-B6FC-C2EE6F4C49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Ignition Delay [ms]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Burn rate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Graphs!$BD$49</c:f>
              <c:strCache>
                <c:ptCount val="1"/>
                <c:pt idx="0">
                  <c:v>100 W/m/K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Graphs!$BF$49:$BF$53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Graphs!$BH$49:$BH$53</c:f>
              <c:numCache>
                <c:formatCode>General</c:formatCode>
                <c:ptCount val="5"/>
                <c:pt idx="0">
                  <c:v>3.42</c:v>
                </c:pt>
                <c:pt idx="1">
                  <c:v>4.47</c:v>
                </c:pt>
                <c:pt idx="2">
                  <c:v>5.87</c:v>
                </c:pt>
                <c:pt idx="3">
                  <c:v>8.2899999999999991</c:v>
                </c:pt>
                <c:pt idx="4">
                  <c:v>15.16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0D-4D11-8285-2CA7AA0FE8FA}"/>
            </c:ext>
          </c:extLst>
        </c:ser>
        <c:ser>
          <c:idx val="0"/>
          <c:order val="1"/>
          <c:tx>
            <c:strRef>
              <c:f>Graphs!$H$49</c:f>
              <c:strCache>
                <c:ptCount val="1"/>
                <c:pt idx="0">
                  <c:v>65 W/m/K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Graphs!$L$44:$L$48</c:f>
              <c:numCache>
                <c:formatCode>General</c:formatCode>
                <c:ptCount val="5"/>
                <c:pt idx="0">
                  <c:v>2.76</c:v>
                </c:pt>
                <c:pt idx="1">
                  <c:v>3.95</c:v>
                </c:pt>
                <c:pt idx="2">
                  <c:v>4.92</c:v>
                </c:pt>
                <c:pt idx="3">
                  <c:v>7.05</c:v>
                </c:pt>
                <c:pt idx="4">
                  <c:v>12.9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6E-4461-89E6-7FDA00D74D0F}"/>
            </c:ext>
          </c:extLst>
        </c:ser>
        <c:ser>
          <c:idx val="2"/>
          <c:order val="2"/>
          <c:tx>
            <c:strRef>
              <c:f>Graphs!$BD$44</c:f>
              <c:strCache>
                <c:ptCount val="1"/>
                <c:pt idx="0">
                  <c:v>1 W/m/K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Graphs!$BF$44:$BF$48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Graphs!$BH$44:$BH$48</c:f>
              <c:numCache>
                <c:formatCode>General</c:formatCode>
                <c:ptCount val="5"/>
                <c:pt idx="0">
                  <c:v>0.64</c:v>
                </c:pt>
                <c:pt idx="1">
                  <c:v>0.81</c:v>
                </c:pt>
                <c:pt idx="2">
                  <c:v>0.96</c:v>
                </c:pt>
                <c:pt idx="3">
                  <c:v>1.18</c:v>
                </c:pt>
                <c:pt idx="4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6E-4461-89E6-7FDA00D74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Graphs!$C$44:$C$73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Graphs!$E$44:$E$73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EB6E-4461-89E6-7FDA00D74D0F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Burn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rate [m/s]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Ignition delay</a:t>
            </a:r>
            <a:r>
              <a:rPr lang="en-CA" baseline="0">
                <a:solidFill>
                  <a:sysClr val="windowText" lastClr="000000"/>
                </a:solidFill>
              </a:rPr>
              <a:t> </a:t>
            </a:r>
            <a:r>
              <a:rPr lang="en-CA">
                <a:solidFill>
                  <a:sysClr val="windowText" lastClr="000000"/>
                </a:solidFill>
              </a:rPr>
              <a:t>versus %TMD</a:t>
            </a:r>
          </a:p>
        </c:rich>
      </c:tx>
      <c:layout>
        <c:manualLayout>
          <c:xMode val="edge"/>
          <c:yMode val="edge"/>
          <c:x val="0.19846318316983777"/>
          <c:y val="3.88614372058179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Graphs!$X$60</c:f>
              <c:strCache>
                <c:ptCount val="1"/>
                <c:pt idx="0">
                  <c:v>100 W/m/K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Graphs!$Z$59:$Z$63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Graphs!$AA$59:$AA$63</c:f>
              <c:numCache>
                <c:formatCode>General</c:formatCode>
                <c:ptCount val="5"/>
                <c:pt idx="0">
                  <c:v>0.26504</c:v>
                </c:pt>
                <c:pt idx="1">
                  <c:v>0.29774</c:v>
                </c:pt>
                <c:pt idx="2">
                  <c:v>0.23356299999999999</c:v>
                </c:pt>
                <c:pt idx="3">
                  <c:v>0.166348</c:v>
                </c:pt>
                <c:pt idx="4">
                  <c:v>0.14632500000000001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4E-4546-9011-522E684678F8}"/>
            </c:ext>
          </c:extLst>
        </c:ser>
        <c:ser>
          <c:idx val="0"/>
          <c:order val="1"/>
          <c:tx>
            <c:strRef>
              <c:f>Graphs!$H$49</c:f>
              <c:strCache>
                <c:ptCount val="1"/>
                <c:pt idx="0">
                  <c:v>65 W/m/K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Graphs!$K$44:$K$48</c:f>
              <c:numCache>
                <c:formatCode>General</c:formatCode>
                <c:ptCount val="5"/>
                <c:pt idx="0">
                  <c:v>0.27157999999999999</c:v>
                </c:pt>
                <c:pt idx="1">
                  <c:v>0.23105000000000001</c:v>
                </c:pt>
                <c:pt idx="2">
                  <c:v>0.17995</c:v>
                </c:pt>
                <c:pt idx="3">
                  <c:v>0.12307700000000001</c:v>
                </c:pt>
                <c:pt idx="4">
                  <c:v>6.3833000000000001E-2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2-4502-B6DF-402D2D9E62DA}"/>
            </c:ext>
          </c:extLst>
        </c:ser>
        <c:ser>
          <c:idx val="2"/>
          <c:order val="2"/>
          <c:tx>
            <c:strRef>
              <c:f>Graphs!$X$55</c:f>
              <c:strCache>
                <c:ptCount val="1"/>
                <c:pt idx="0">
                  <c:v>1 W/m/K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Graphs!$Z$54:$Z$58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Graphs!$AA$54:$AA$58</c:f>
              <c:numCache>
                <c:formatCode>General</c:formatCode>
                <c:ptCount val="5"/>
                <c:pt idx="0">
                  <c:v>2.1899999999999999E-2</c:v>
                </c:pt>
                <c:pt idx="1">
                  <c:v>1.813E-2</c:v>
                </c:pt>
                <c:pt idx="2">
                  <c:v>1.4120000000000001E-2</c:v>
                </c:pt>
                <c:pt idx="3">
                  <c:v>9.7199999999999995E-3</c:v>
                </c:pt>
                <c:pt idx="4">
                  <c:v>4.5100000000000001E-3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862-4502-B6DF-402D2D9E62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Ignition Delay [ms]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Burn rate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Graphs!$H$47</c:f>
              <c:strCache>
                <c:ptCount val="1"/>
                <c:pt idx="0">
                  <c:v>4.89e6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Graphs!$L$44:$L$48</c:f>
              <c:numCache>
                <c:formatCode>General</c:formatCode>
                <c:ptCount val="5"/>
                <c:pt idx="0">
                  <c:v>2.76</c:v>
                </c:pt>
                <c:pt idx="1">
                  <c:v>3.95</c:v>
                </c:pt>
                <c:pt idx="2">
                  <c:v>4.92</c:v>
                </c:pt>
                <c:pt idx="3">
                  <c:v>7.05</c:v>
                </c:pt>
                <c:pt idx="4">
                  <c:v>12.9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12-4115-AC34-FBA092353D2D}"/>
            </c:ext>
          </c:extLst>
        </c:ser>
        <c:ser>
          <c:idx val="1"/>
          <c:order val="1"/>
          <c:tx>
            <c:strRef>
              <c:f>Graphs!$AN$52</c:f>
              <c:strCache>
                <c:ptCount val="1"/>
                <c:pt idx="0">
                  <c:v>2.44e6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Graphs!$AP$52:$AP$56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Graphs!$AR$52:$AR$56</c:f>
              <c:numCache>
                <c:formatCode>General</c:formatCode>
                <c:ptCount val="5"/>
                <c:pt idx="0">
                  <c:v>1.98</c:v>
                </c:pt>
                <c:pt idx="1">
                  <c:v>2.66</c:v>
                </c:pt>
                <c:pt idx="2">
                  <c:v>3.57</c:v>
                </c:pt>
                <c:pt idx="3">
                  <c:v>5.01</c:v>
                </c:pt>
                <c:pt idx="4">
                  <c:v>8.83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9A-458D-B28F-AE13F2B82CEC}"/>
            </c:ext>
          </c:extLst>
        </c:ser>
        <c:ser>
          <c:idx val="2"/>
          <c:order val="2"/>
          <c:tx>
            <c:strRef>
              <c:f>Graphs!$AN$44</c:f>
              <c:strCache>
                <c:ptCount val="1"/>
                <c:pt idx="0">
                  <c:v>4.89e5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Graphs!$AP$44:$AP$50</c:f>
              <c:numCache>
                <c:formatCode>General</c:formatCode>
                <c:ptCount val="7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0.25</c:v>
                </c:pt>
                <c:pt idx="5">
                  <c:v>0.19999999999999996</c:v>
                </c:pt>
                <c:pt idx="6">
                  <c:v>0.15000000000000002</c:v>
                </c:pt>
              </c:numCache>
            </c:numRef>
          </c:xVal>
          <c:yVal>
            <c:numRef>
              <c:f>Graphs!$AR$44:$AR$50</c:f>
              <c:numCache>
                <c:formatCode>General</c:formatCode>
                <c:ptCount val="7"/>
                <c:pt idx="0">
                  <c:v>0.89</c:v>
                </c:pt>
                <c:pt idx="1">
                  <c:v>1.1499999999999999</c:v>
                </c:pt>
                <c:pt idx="2">
                  <c:v>1.56</c:v>
                </c:pt>
                <c:pt idx="3">
                  <c:v>2.08</c:v>
                </c:pt>
                <c:pt idx="4">
                  <c:v>2.15</c:v>
                </c:pt>
                <c:pt idx="5">
                  <c:v>3.31</c:v>
                </c:pt>
                <c:pt idx="6">
                  <c:v>0.06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012-4115-AC34-FBA092353D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tx1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Graphs!$C$44:$C$73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Graphs!$E$44:$E$73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8012-4115-AC34-FBA092353D2D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Burn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rate [m/s]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Ignition delay</a:t>
            </a:r>
            <a:r>
              <a:rPr lang="en-CA" baseline="0">
                <a:solidFill>
                  <a:sysClr val="windowText" lastClr="000000"/>
                </a:solidFill>
              </a:rPr>
              <a:t> </a:t>
            </a:r>
            <a:r>
              <a:rPr lang="en-CA">
                <a:solidFill>
                  <a:sysClr val="windowText" lastClr="000000"/>
                </a:solidFill>
              </a:rPr>
              <a:t>versus %TMD</a:t>
            </a:r>
          </a:p>
        </c:rich>
      </c:tx>
      <c:layout>
        <c:manualLayout>
          <c:xMode val="edge"/>
          <c:yMode val="edge"/>
          <c:x val="0.19846318316983777"/>
          <c:y val="3.36934764465101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Graphs!$H$47</c:f>
              <c:strCache>
                <c:ptCount val="1"/>
                <c:pt idx="0">
                  <c:v>4.89e6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Graphs!$K$44:$K$48</c:f>
              <c:numCache>
                <c:formatCode>General</c:formatCode>
                <c:ptCount val="5"/>
                <c:pt idx="0">
                  <c:v>0.27157999999999999</c:v>
                </c:pt>
                <c:pt idx="1">
                  <c:v>0.23105000000000001</c:v>
                </c:pt>
                <c:pt idx="2">
                  <c:v>0.17995</c:v>
                </c:pt>
                <c:pt idx="3">
                  <c:v>0.12307700000000001</c:v>
                </c:pt>
                <c:pt idx="4">
                  <c:v>6.3833000000000001E-2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5C-415E-B72F-101B5CD9081F}"/>
            </c:ext>
          </c:extLst>
        </c:ser>
        <c:ser>
          <c:idx val="1"/>
          <c:order val="1"/>
          <c:tx>
            <c:strRef>
              <c:f>Graphs!$AN$52</c:f>
              <c:strCache>
                <c:ptCount val="1"/>
                <c:pt idx="0">
                  <c:v>2.44e6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Graphs!$AP$52:$AP$56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Graphs!$AQ$52:$AQ$56</c:f>
              <c:numCache>
                <c:formatCode>General</c:formatCode>
                <c:ptCount val="5"/>
                <c:pt idx="0">
                  <c:v>0.34653</c:v>
                </c:pt>
                <c:pt idx="1">
                  <c:v>0.30757000000000001</c:v>
                </c:pt>
                <c:pt idx="2">
                  <c:v>0.19767000000000001</c:v>
                </c:pt>
                <c:pt idx="3">
                  <c:v>0.154255</c:v>
                </c:pt>
                <c:pt idx="4">
                  <c:v>0.12922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DD-4E33-9979-5F1AA917E6B7}"/>
            </c:ext>
          </c:extLst>
        </c:ser>
        <c:ser>
          <c:idx val="2"/>
          <c:order val="2"/>
          <c:tx>
            <c:strRef>
              <c:f>Graphs!$AN$44</c:f>
              <c:strCache>
                <c:ptCount val="1"/>
                <c:pt idx="0">
                  <c:v>4.89e5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Graphs!$AP$44:$AP$50</c:f>
              <c:numCache>
                <c:formatCode>General</c:formatCode>
                <c:ptCount val="7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0.25</c:v>
                </c:pt>
                <c:pt idx="5">
                  <c:v>0.19999999999999996</c:v>
                </c:pt>
                <c:pt idx="6">
                  <c:v>0.15000000000000002</c:v>
                </c:pt>
              </c:numCache>
            </c:numRef>
          </c:xVal>
          <c:yVal>
            <c:numRef>
              <c:f>Graphs!$AQ$44:$AQ$50</c:f>
              <c:numCache>
                <c:formatCode>General</c:formatCode>
                <c:ptCount val="7"/>
                <c:pt idx="0">
                  <c:v>0.84914999999999996</c:v>
                </c:pt>
                <c:pt idx="1">
                  <c:v>0.54454999999999998</c:v>
                </c:pt>
                <c:pt idx="2">
                  <c:v>0.65903</c:v>
                </c:pt>
                <c:pt idx="3">
                  <c:v>0.63077799999999995</c:v>
                </c:pt>
                <c:pt idx="4">
                  <c:v>0.59178200000000003</c:v>
                </c:pt>
                <c:pt idx="5">
                  <c:v>0.613035</c:v>
                </c:pt>
                <c:pt idx="6">
                  <c:v>3.1891449999999999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5C-415E-B72F-101B5CD90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Ignition Delay [ms]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Pe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Graphs!$H$44</c:f>
              <c:strCache>
                <c:ptCount val="1"/>
                <c:pt idx="0">
                  <c:v>40nm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Graphs!$N$44:$N$48</c:f>
              <c:numCache>
                <c:formatCode>0.00E+00</c:formatCode>
                <c:ptCount val="5"/>
                <c:pt idx="0">
                  <c:v>1.5236764091077271E-10</c:v>
                </c:pt>
                <c:pt idx="1">
                  <c:v>6.8005720545277493E-9</c:v>
                </c:pt>
                <c:pt idx="2">
                  <c:v>6.170889456886292E-8</c:v>
                </c:pt>
                <c:pt idx="3">
                  <c:v>4.7035890749155502E-7</c:v>
                </c:pt>
                <c:pt idx="4">
                  <c:v>8.9971568281402184E-6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BF-4AB4-88A8-521323BD0B9B}"/>
            </c:ext>
          </c:extLst>
        </c:ser>
        <c:ser>
          <c:idx val="2"/>
          <c:order val="1"/>
          <c:tx>
            <c:strRef>
              <c:f>Graphs!$P$44</c:f>
              <c:strCache>
                <c:ptCount val="1"/>
                <c:pt idx="0">
                  <c:v>1um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Graphs!$R$44:$R$51</c:f>
              <c:numCache>
                <c:formatCode>General</c:formatCode>
                <c:ptCount val="8"/>
                <c:pt idx="0">
                  <c:v>0.9</c:v>
                </c:pt>
                <c:pt idx="1">
                  <c:v>0.8</c:v>
                </c:pt>
                <c:pt idx="2">
                  <c:v>0.75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0.30000000000000004</c:v>
                </c:pt>
                <c:pt idx="7">
                  <c:v>9.9999999999999978E-2</c:v>
                </c:pt>
              </c:numCache>
            </c:numRef>
          </c:xVal>
          <c:yVal>
            <c:numRef>
              <c:f>Graphs!$V$44:$V$51</c:f>
              <c:numCache>
                <c:formatCode>0.00E+00</c:formatCode>
                <c:ptCount val="8"/>
                <c:pt idx="0">
                  <c:v>9.5229775569232906E-8</c:v>
                </c:pt>
                <c:pt idx="1">
                  <c:v>9.6420147763848325E-7</c:v>
                </c:pt>
                <c:pt idx="2">
                  <c:v>2.1426699503077401E-6</c:v>
                </c:pt>
                <c:pt idx="3">
                  <c:v>3.2663813020246892E-6</c:v>
                </c:pt>
                <c:pt idx="4">
                  <c:v>3.7319436362824784E-6</c:v>
                </c:pt>
                <c:pt idx="5">
                  <c:v>4.2503575340798442E-6</c:v>
                </c:pt>
                <c:pt idx="6">
                  <c:v>4.8266374661336794E-6</c:v>
                </c:pt>
                <c:pt idx="7">
                  <c:v>1.3713087681969545E-5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ABF-4AB4-88A8-521323BD0B9B}"/>
            </c:ext>
          </c:extLst>
        </c:ser>
        <c:ser>
          <c:idx val="1"/>
          <c:order val="2"/>
          <c:tx>
            <c:strRef>
              <c:f>Graphs!$P$54</c:f>
              <c:strCache>
                <c:ptCount val="1"/>
                <c:pt idx="0">
                  <c:v>100nm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Graphs!$R$54:$R$58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Graphs!$V$54:$V$58</c:f>
              <c:numCache>
                <c:formatCode>0.00E+00</c:formatCode>
                <c:ptCount val="5"/>
                <c:pt idx="0">
                  <c:v>9.5229775569232922E-10</c:v>
                </c:pt>
                <c:pt idx="1">
                  <c:v>4.2503575340798434E-8</c:v>
                </c:pt>
                <c:pt idx="2">
                  <c:v>3.8568059105539312E-7</c:v>
                </c:pt>
                <c:pt idx="3">
                  <c:v>2.9397431718222178E-6</c:v>
                </c:pt>
                <c:pt idx="4">
                  <c:v>5.6232230175876344E-5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F6-43AB-99B0-5DD0BD5700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tx1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Graphs!$C$44:$C$73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Graphs!$E$44:$E$73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2ABF-4AB4-88A8-521323BD0B9B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Pe 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[-]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b="0">
                <a:solidFill>
                  <a:sysClr val="windowText" lastClr="000000"/>
                </a:solidFill>
              </a:rPr>
              <a:t>Da delay</a:t>
            </a:r>
            <a:r>
              <a:rPr lang="en-CA" b="0" baseline="0">
                <a:solidFill>
                  <a:sysClr val="windowText" lastClr="000000"/>
                </a:solidFill>
              </a:rPr>
              <a:t> </a:t>
            </a:r>
            <a:r>
              <a:rPr lang="en-CA" b="0">
                <a:solidFill>
                  <a:sysClr val="windowText" lastClr="000000"/>
                </a:solidFill>
              </a:rPr>
              <a:t>versus %TMD</a:t>
            </a:r>
          </a:p>
        </c:rich>
      </c:tx>
      <c:layout>
        <c:manualLayout>
          <c:xMode val="edge"/>
          <c:yMode val="edge"/>
          <c:x val="0.22725865933251183"/>
          <c:y val="3.88614372058179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Graphs!$H$44</c:f>
              <c:strCache>
                <c:ptCount val="1"/>
                <c:pt idx="0">
                  <c:v>40nm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Graphs!$O$44:$O$48</c:f>
              <c:numCache>
                <c:formatCode>0.00E+00</c:formatCode>
                <c:ptCount val="5"/>
                <c:pt idx="0">
                  <c:v>633274907475.9436</c:v>
                </c:pt>
                <c:pt idx="1">
                  <c:v>14188601036.269432</c:v>
                </c:pt>
                <c:pt idx="2">
                  <c:v>1563641746.8541825</c:v>
                </c:pt>
                <c:pt idx="3">
                  <c:v>205142503.23159835</c:v>
                </c:pt>
                <c:pt idx="4">
                  <c:v>10724566.164980669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CD-4B7E-8338-50F9E72F1214}"/>
            </c:ext>
          </c:extLst>
        </c:ser>
        <c:ser>
          <c:idx val="2"/>
          <c:order val="1"/>
          <c:tx>
            <c:strRef>
              <c:f>Graphs!$P$44</c:f>
              <c:strCache>
                <c:ptCount val="1"/>
                <c:pt idx="0">
                  <c:v>1um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Graphs!$R$44:$R$51</c:f>
              <c:numCache>
                <c:formatCode>General</c:formatCode>
                <c:ptCount val="8"/>
                <c:pt idx="0">
                  <c:v>0.9</c:v>
                </c:pt>
                <c:pt idx="1">
                  <c:v>0.8</c:v>
                </c:pt>
                <c:pt idx="2">
                  <c:v>0.75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0.30000000000000004</c:v>
                </c:pt>
                <c:pt idx="7">
                  <c:v>9.9999999999999978E-2</c:v>
                </c:pt>
              </c:numCache>
            </c:numRef>
          </c:xVal>
          <c:yVal>
            <c:numRef>
              <c:f>Graphs!$W$44:$W$51</c:f>
              <c:numCache>
                <c:formatCode>0.00E+00</c:formatCode>
                <c:ptCount val="8"/>
                <c:pt idx="0">
                  <c:v>1013239851.9615099</c:v>
                </c:pt>
                <c:pt idx="1">
                  <c:v>100073071.79866768</c:v>
                </c:pt>
                <c:pt idx="2">
                  <c:v>45032882.309400454</c:v>
                </c:pt>
                <c:pt idx="3">
                  <c:v>29540520.465350136</c:v>
                </c:pt>
                <c:pt idx="4">
                  <c:v>25855321.811937947</c:v>
                </c:pt>
                <c:pt idx="5">
                  <c:v>22701761.658031091</c:v>
                </c:pt>
                <c:pt idx="6">
                  <c:v>19991268.11929176</c:v>
                </c:pt>
                <c:pt idx="7">
                  <c:v>7036387.8608438177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CD-4B7E-8338-50F9E72F12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logBase val="10"/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Da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E+00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Pe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Graphs!$X$49</c:f>
              <c:strCache>
                <c:ptCount val="1"/>
                <c:pt idx="0">
                  <c:v>16971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Graphs!$Z$49:$Z$53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Graphs!$AD$49:$AD$53</c:f>
              <c:numCache>
                <c:formatCode>0.00E+00</c:formatCode>
                <c:ptCount val="5"/>
                <c:pt idx="0">
                  <c:v>1.5236764091077271E-10</c:v>
                </c:pt>
                <c:pt idx="1">
                  <c:v>6.8005720545277493E-9</c:v>
                </c:pt>
                <c:pt idx="2">
                  <c:v>6.170889456886292E-8</c:v>
                </c:pt>
                <c:pt idx="3">
                  <c:v>4.7035890749155502E-7</c:v>
                </c:pt>
                <c:pt idx="4">
                  <c:v>8.9971568281402184E-6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6F-4572-BC88-2D345B4A9095}"/>
            </c:ext>
          </c:extLst>
        </c:ser>
        <c:ser>
          <c:idx val="2"/>
          <c:order val="1"/>
          <c:tx>
            <c:strRef>
              <c:f>Graphs!$X$44</c:f>
              <c:strCache>
                <c:ptCount val="1"/>
                <c:pt idx="0">
                  <c:v>8431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Graphs!$Z$44:$Z$48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Graphs!$AD$44:$AD$48</c:f>
              <c:numCache>
                <c:formatCode>0.00E+00</c:formatCode>
                <c:ptCount val="5"/>
                <c:pt idx="0">
                  <c:v>1.5236764091077271E-10</c:v>
                </c:pt>
                <c:pt idx="1">
                  <c:v>6.8005720545277493E-9</c:v>
                </c:pt>
                <c:pt idx="2">
                  <c:v>6.170889456886292E-8</c:v>
                </c:pt>
                <c:pt idx="3">
                  <c:v>4.7035890749155502E-7</c:v>
                </c:pt>
                <c:pt idx="4">
                  <c:v>8.9971568281402184E-6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6F-4572-BC88-2D345B4A9095}"/>
            </c:ext>
          </c:extLst>
        </c:ser>
        <c:ser>
          <c:idx val="5"/>
          <c:order val="2"/>
          <c:tx>
            <c:strRef>
              <c:f>Graphs!$X$59</c:f>
              <c:strCache>
                <c:ptCount val="1"/>
                <c:pt idx="0">
                  <c:v>8078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Graphs!$Z$59:$Z$63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Graphs!$AD$59:$AD$63</c:f>
              <c:numCache>
                <c:formatCode>0.00E+00</c:formatCode>
                <c:ptCount val="5"/>
                <c:pt idx="0">
                  <c:v>9.9038966592002255E-11</c:v>
                </c:pt>
                <c:pt idx="1">
                  <c:v>4.4203718354430376E-9</c:v>
                </c:pt>
                <c:pt idx="2">
                  <c:v>4.0110781469760893E-8</c:v>
                </c:pt>
                <c:pt idx="3">
                  <c:v>3.0573328986951076E-7</c:v>
                </c:pt>
                <c:pt idx="4">
                  <c:v>5.8481519382911431E-6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06F-4572-BC88-2D345B4A9095}"/>
            </c:ext>
          </c:extLst>
        </c:ser>
        <c:ser>
          <c:idx val="0"/>
          <c:order val="3"/>
          <c:tx>
            <c:strRef>
              <c:f>Graphs!$H$45</c:f>
              <c:strCache>
                <c:ptCount val="1"/>
                <c:pt idx="0">
                  <c:v>5250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Graphs!$N$44:$N$48</c:f>
              <c:numCache>
                <c:formatCode>0.00E+00</c:formatCode>
                <c:ptCount val="5"/>
                <c:pt idx="0">
                  <c:v>1.5236764091077271E-10</c:v>
                </c:pt>
                <c:pt idx="1">
                  <c:v>6.8005720545277493E-9</c:v>
                </c:pt>
                <c:pt idx="2">
                  <c:v>6.170889456886292E-8</c:v>
                </c:pt>
                <c:pt idx="3">
                  <c:v>4.7035890749155502E-7</c:v>
                </c:pt>
                <c:pt idx="4">
                  <c:v>8.9971568281402184E-6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06F-4572-BC88-2D345B4A9095}"/>
            </c:ext>
          </c:extLst>
        </c:ser>
        <c:ser>
          <c:idx val="6"/>
          <c:order val="4"/>
          <c:tx>
            <c:strRef>
              <c:f>Graphs!$X$64</c:f>
              <c:strCache>
                <c:ptCount val="1"/>
                <c:pt idx="0">
                  <c:v>525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Graphs!$Z$64:$Z$68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Graphs!$AD$64:$AD$68</c:f>
              <c:numCache>
                <c:formatCode>0.00E+00</c:formatCode>
                <c:ptCount val="5"/>
                <c:pt idx="0">
                  <c:v>1.5236764091077274E-11</c:v>
                </c:pt>
                <c:pt idx="1">
                  <c:v>6.8005720545277518E-10</c:v>
                </c:pt>
                <c:pt idx="2">
                  <c:v>6.1708894568862925E-9</c:v>
                </c:pt>
                <c:pt idx="3">
                  <c:v>4.7035890749155488E-8</c:v>
                </c:pt>
                <c:pt idx="4">
                  <c:v>8.9971568281402203E-7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06F-4572-BC88-2D345B4A9095}"/>
            </c:ext>
          </c:extLst>
        </c:ser>
        <c:ser>
          <c:idx val="7"/>
          <c:order val="6"/>
          <c:tx>
            <c:strRef>
              <c:f>Graphs!$X$69</c:f>
              <c:strCache>
                <c:ptCount val="1"/>
                <c:pt idx="0">
                  <c:v>52.5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Graphs!$Z$69:$Z$73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Graphs!$AD$69:$AD$73</c:f>
              <c:numCache>
                <c:formatCode>0.00E+00</c:formatCode>
                <c:ptCount val="5"/>
                <c:pt idx="0">
                  <c:v>1.5236764091077272E-12</c:v>
                </c:pt>
                <c:pt idx="1">
                  <c:v>6.8005720545277503E-11</c:v>
                </c:pt>
                <c:pt idx="2">
                  <c:v>6.1708894568862925E-10</c:v>
                </c:pt>
                <c:pt idx="3">
                  <c:v>4.7035890749155494E-9</c:v>
                </c:pt>
                <c:pt idx="4">
                  <c:v>8.9971568281402213E-8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06F-4572-BC88-2D345B4A90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5"/>
                <c:tx>
                  <c:strRef>
                    <c:extLst>
                      <c:ext uri="{02D57815-91ED-43cb-92C2-25804820EDAC}">
                        <c15:formulaRef>
                          <c15:sqref>Graphs!$X$54</c15:sqref>
                        </c15:formulaRef>
                      </c:ext>
                    </c:extLst>
                    <c:strCache>
                      <c:ptCount val="1"/>
                      <c:pt idx="0">
                        <c:v>80.8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Graphs!$Z$54:$Z$58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0.9</c:v>
                      </c:pt>
                      <c:pt idx="1">
                        <c:v>0.7</c:v>
                      </c:pt>
                      <c:pt idx="2">
                        <c:v>0.5</c:v>
                      </c:pt>
                      <c:pt idx="3">
                        <c:v>0.30000000000000004</c:v>
                      </c:pt>
                      <c:pt idx="4">
                        <c:v>9.9999999999999978E-2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Graphs!$AD$54:$AD$58</c15:sqref>
                        </c15:formulaRef>
                      </c:ext>
                    </c:extLst>
                    <c:numCache>
                      <c:formatCode>0.00E+00</c:formatCode>
                      <c:ptCount val="5"/>
                      <c:pt idx="0">
                        <c:v>9.9038966592002252E-9</c:v>
                      </c:pt>
                      <c:pt idx="1">
                        <c:v>4.4203718354430375E-7</c:v>
                      </c:pt>
                      <c:pt idx="2">
                        <c:v>4.0110781469760892E-6</c:v>
                      </c:pt>
                      <c:pt idx="3">
                        <c:v>3.0573328986951078E-5</c:v>
                      </c:pt>
                      <c:pt idx="4">
                        <c:v>5.8481519382911425E-4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B06F-4572-BC88-2D345B4A9095}"/>
                  </c:ext>
                </c:extLst>
              </c15:ser>
            </c15:filteredScatterSeries>
            <c15:filteredScatterSeries>
              <c15:ser>
                <c:idx val="3"/>
                <c:order val="7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tx1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Graphs!$C$44:$C$73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Graphs!$E$44:$E$73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B06F-4572-BC88-2D345B4A9095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Pe 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[-]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Da delay</a:t>
            </a:r>
            <a:r>
              <a:rPr lang="en-CA" baseline="0">
                <a:solidFill>
                  <a:sysClr val="windowText" lastClr="000000"/>
                </a:solidFill>
              </a:rPr>
              <a:t> </a:t>
            </a:r>
            <a:r>
              <a:rPr lang="en-CA">
                <a:solidFill>
                  <a:sysClr val="windowText" lastClr="000000"/>
                </a:solidFill>
              </a:rPr>
              <a:t>versus %TMD</a:t>
            </a:r>
          </a:p>
        </c:rich>
      </c:tx>
      <c:layout>
        <c:manualLayout>
          <c:xMode val="edge"/>
          <c:yMode val="edge"/>
          <c:x val="0.23085809385284606"/>
          <c:y val="2.852551568720245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Graphs!$X$49</c:f>
              <c:strCache>
                <c:ptCount val="1"/>
                <c:pt idx="0">
                  <c:v>16971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Graphs!$Z$49:$Z$53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Graphs!$AE$49:$AE$53</c:f>
              <c:numCache>
                <c:formatCode>0.00E+00</c:formatCode>
                <c:ptCount val="5"/>
                <c:pt idx="0">
                  <c:v>633274907475.9436</c:v>
                </c:pt>
                <c:pt idx="1">
                  <c:v>14188601036.269432</c:v>
                </c:pt>
                <c:pt idx="2">
                  <c:v>1563641746.8541825</c:v>
                </c:pt>
                <c:pt idx="3">
                  <c:v>205142503.23159835</c:v>
                </c:pt>
                <c:pt idx="4">
                  <c:v>10724566.164980669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EC-43B9-9BEB-3477074F29CD}"/>
            </c:ext>
          </c:extLst>
        </c:ser>
        <c:ser>
          <c:idx val="2"/>
          <c:order val="1"/>
          <c:tx>
            <c:strRef>
              <c:f>Graphs!$X$44</c:f>
              <c:strCache>
                <c:ptCount val="1"/>
                <c:pt idx="0">
                  <c:v>8431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Graphs!$Z$44:$Z$48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Graphs!$AE$44:$AE$48</c:f>
              <c:numCache>
                <c:formatCode>0.00E+00</c:formatCode>
                <c:ptCount val="5"/>
                <c:pt idx="0">
                  <c:v>633274907475.9436</c:v>
                </c:pt>
                <c:pt idx="1">
                  <c:v>14188601036.269432</c:v>
                </c:pt>
                <c:pt idx="2">
                  <c:v>1563641746.8541825</c:v>
                </c:pt>
                <c:pt idx="3">
                  <c:v>205142503.23159835</c:v>
                </c:pt>
                <c:pt idx="4">
                  <c:v>10724566.164980669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1EC-43B9-9BEB-3477074F29CD}"/>
            </c:ext>
          </c:extLst>
        </c:ser>
        <c:ser>
          <c:idx val="4"/>
          <c:order val="2"/>
          <c:tx>
            <c:strRef>
              <c:f>Graphs!$X$59</c:f>
              <c:strCache>
                <c:ptCount val="1"/>
                <c:pt idx="0">
                  <c:v>8078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noFill/>
              </a:ln>
              <a:effectLst/>
            </c:spPr>
          </c:marker>
          <c:xVal>
            <c:numRef>
              <c:f>Graphs!$Z$59:$Z$63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Graphs!$AE$59:$AE$63</c:f>
              <c:numCache>
                <c:formatCode>0.00E+00</c:formatCode>
                <c:ptCount val="5"/>
                <c:pt idx="0">
                  <c:v>633274907475.9436</c:v>
                </c:pt>
                <c:pt idx="1">
                  <c:v>14188601036.269432</c:v>
                </c:pt>
                <c:pt idx="2">
                  <c:v>1563641746.8541825</c:v>
                </c:pt>
                <c:pt idx="3">
                  <c:v>205142503.23159835</c:v>
                </c:pt>
                <c:pt idx="4">
                  <c:v>10724566.164980669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1EC-43B9-9BEB-3477074F29CD}"/>
            </c:ext>
          </c:extLst>
        </c:ser>
        <c:ser>
          <c:idx val="0"/>
          <c:order val="3"/>
          <c:tx>
            <c:strRef>
              <c:f>Graphs!$H$45</c:f>
              <c:strCache>
                <c:ptCount val="1"/>
                <c:pt idx="0">
                  <c:v>5250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Graphs!$O$44:$O$48</c:f>
              <c:numCache>
                <c:formatCode>0.00E+00</c:formatCode>
                <c:ptCount val="5"/>
                <c:pt idx="0">
                  <c:v>633274907475.9436</c:v>
                </c:pt>
                <c:pt idx="1">
                  <c:v>14188601036.269432</c:v>
                </c:pt>
                <c:pt idx="2">
                  <c:v>1563641746.8541825</c:v>
                </c:pt>
                <c:pt idx="3">
                  <c:v>205142503.23159835</c:v>
                </c:pt>
                <c:pt idx="4">
                  <c:v>10724566.164980669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1EC-43B9-9BEB-3477074F29CD}"/>
            </c:ext>
          </c:extLst>
        </c:ser>
        <c:ser>
          <c:idx val="5"/>
          <c:order val="4"/>
          <c:tx>
            <c:strRef>
              <c:f>Graphs!$X$64</c:f>
              <c:strCache>
                <c:ptCount val="1"/>
                <c:pt idx="0">
                  <c:v>525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Graphs!$Z$64:$Z$68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Graphs!$AE$64:$AE$68</c:f>
              <c:numCache>
                <c:formatCode>0.00E+00</c:formatCode>
                <c:ptCount val="5"/>
                <c:pt idx="0">
                  <c:v>6332749074759.4336</c:v>
                </c:pt>
                <c:pt idx="1">
                  <c:v>141886010362.69431</c:v>
                </c:pt>
                <c:pt idx="2">
                  <c:v>15636417468.541821</c:v>
                </c:pt>
                <c:pt idx="3">
                  <c:v>2051425032.3159833</c:v>
                </c:pt>
                <c:pt idx="4">
                  <c:v>107245661.64980666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1EC-43B9-9BEB-3477074F29CD}"/>
            </c:ext>
          </c:extLst>
        </c:ser>
        <c:ser>
          <c:idx val="3"/>
          <c:order val="5"/>
          <c:tx>
            <c:strRef>
              <c:f>Graphs!$X$54</c:f>
              <c:strCache>
                <c:ptCount val="1"/>
                <c:pt idx="0">
                  <c:v>80.8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Graphs!$Z$54:$Z$58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Graphs!$AE$54:$AE$58</c:f>
              <c:numCache>
                <c:formatCode>0.00E+00</c:formatCode>
                <c:ptCount val="5"/>
                <c:pt idx="0">
                  <c:v>633274907475.9436</c:v>
                </c:pt>
                <c:pt idx="1">
                  <c:v>14188601036.269432</c:v>
                </c:pt>
                <c:pt idx="2">
                  <c:v>1563641746.8541825</c:v>
                </c:pt>
                <c:pt idx="3">
                  <c:v>205142503.23159835</c:v>
                </c:pt>
                <c:pt idx="4">
                  <c:v>10724566.164980669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1EC-43B9-9BEB-3477074F29CD}"/>
            </c:ext>
          </c:extLst>
        </c:ser>
        <c:ser>
          <c:idx val="6"/>
          <c:order val="6"/>
          <c:tx>
            <c:strRef>
              <c:f>Graphs!$X$69</c:f>
              <c:strCache>
                <c:ptCount val="1"/>
                <c:pt idx="0">
                  <c:v>52.5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Graphs!$Z$69:$Z$73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Graphs!$AE$69:$AE$73</c:f>
              <c:numCache>
                <c:formatCode>0.00E+00</c:formatCode>
                <c:ptCount val="5"/>
                <c:pt idx="0">
                  <c:v>63327490747594.352</c:v>
                </c:pt>
                <c:pt idx="1">
                  <c:v>1418860103626.9429</c:v>
                </c:pt>
                <c:pt idx="2">
                  <c:v>156364174685.41821</c:v>
                </c:pt>
                <c:pt idx="3">
                  <c:v>20514250323.159832</c:v>
                </c:pt>
                <c:pt idx="4">
                  <c:v>1072456616.4980668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1EC-43B9-9BEB-3477074F29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logBase val="10"/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Da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E+00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Pe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Graphs!$H$48</c:f>
              <c:strCache>
                <c:ptCount val="1"/>
                <c:pt idx="0">
                  <c:v>48 kJ/mol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Graphs!$N$44:$N$48</c:f>
              <c:numCache>
                <c:formatCode>0.00E+00</c:formatCode>
                <c:ptCount val="5"/>
                <c:pt idx="0">
                  <c:v>1.5236764091077271E-10</c:v>
                </c:pt>
                <c:pt idx="1">
                  <c:v>6.8005720545277493E-9</c:v>
                </c:pt>
                <c:pt idx="2">
                  <c:v>6.170889456886292E-8</c:v>
                </c:pt>
                <c:pt idx="3">
                  <c:v>4.7035890749155502E-7</c:v>
                </c:pt>
                <c:pt idx="4">
                  <c:v>8.9971568281402184E-6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CD-4A4C-AA48-42F3559EF015}"/>
            </c:ext>
          </c:extLst>
        </c:ser>
        <c:ser>
          <c:idx val="2"/>
          <c:order val="1"/>
          <c:tx>
            <c:strRef>
              <c:f>Graphs!$AV$44</c:f>
              <c:strCache>
                <c:ptCount val="1"/>
                <c:pt idx="0">
                  <c:v>70 kJ/mol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Graphs!$AX$44:$AX$51</c:f>
              <c:numCache>
                <c:formatCode>General</c:formatCode>
                <c:ptCount val="8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0.25</c:v>
                </c:pt>
                <c:pt idx="5">
                  <c:v>0.19999999999999996</c:v>
                </c:pt>
                <c:pt idx="6">
                  <c:v>0.15000000000000002</c:v>
                </c:pt>
                <c:pt idx="7">
                  <c:v>9.9999999999999978E-2</c:v>
                </c:pt>
              </c:numCache>
            </c:numRef>
          </c:xVal>
          <c:yVal>
            <c:numRef>
              <c:f>Graphs!$BB$44:$BB$51</c:f>
              <c:numCache>
                <c:formatCode>0.00E+00</c:formatCode>
                <c:ptCount val="8"/>
                <c:pt idx="0">
                  <c:v>1.5236764091077271E-10</c:v>
                </c:pt>
                <c:pt idx="1">
                  <c:v>6.8005720545277493E-9</c:v>
                </c:pt>
                <c:pt idx="2">
                  <c:v>6.170889456886292E-8</c:v>
                </c:pt>
                <c:pt idx="3">
                  <c:v>4.7035890749155502E-7</c:v>
                </c:pt>
                <c:pt idx="4">
                  <c:v>8.3307007667964959E-7</c:v>
                </c:pt>
                <c:pt idx="5">
                  <c:v>1.5797477009628917E-6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CD-4A4C-AA48-42F3559EF0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2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tx1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Graphs!$C$44:$C$73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Graphs!$E$44:$E$73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BACD-4A4C-AA48-42F3559EF015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Pe 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[-]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Da versus %TMD</a:t>
            </a:r>
          </a:p>
        </c:rich>
      </c:tx>
      <c:layout>
        <c:manualLayout>
          <c:xMode val="edge"/>
          <c:yMode val="edge"/>
          <c:x val="0.31805223152680839"/>
          <c:y val="1.81895941685870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Graphs!$H$48</c:f>
              <c:strCache>
                <c:ptCount val="1"/>
                <c:pt idx="0">
                  <c:v>48 kJ/mol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Graphs!$O$44:$O$48</c:f>
              <c:numCache>
                <c:formatCode>0.00E+00</c:formatCode>
                <c:ptCount val="5"/>
                <c:pt idx="0">
                  <c:v>633274907475.9436</c:v>
                </c:pt>
                <c:pt idx="1">
                  <c:v>14188601036.269432</c:v>
                </c:pt>
                <c:pt idx="2">
                  <c:v>1563641746.8541825</c:v>
                </c:pt>
                <c:pt idx="3">
                  <c:v>205142503.23159835</c:v>
                </c:pt>
                <c:pt idx="4">
                  <c:v>10724566.164980669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BE-488F-9028-EC48B698256B}"/>
            </c:ext>
          </c:extLst>
        </c:ser>
        <c:ser>
          <c:idx val="2"/>
          <c:order val="1"/>
          <c:tx>
            <c:strRef>
              <c:f>Graphs!$AV$44</c:f>
              <c:strCache>
                <c:ptCount val="1"/>
                <c:pt idx="0">
                  <c:v>70 kJ/mol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Graphs!$AX$44:$AX$51</c:f>
              <c:numCache>
                <c:formatCode>General</c:formatCode>
                <c:ptCount val="8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0.25</c:v>
                </c:pt>
                <c:pt idx="5">
                  <c:v>0.19999999999999996</c:v>
                </c:pt>
                <c:pt idx="6">
                  <c:v>0.15000000000000002</c:v>
                </c:pt>
                <c:pt idx="7">
                  <c:v>9.9999999999999978E-2</c:v>
                </c:pt>
              </c:numCache>
            </c:numRef>
          </c:xVal>
          <c:yVal>
            <c:numRef>
              <c:f>Graphs!$BC$44:$BC$51</c:f>
              <c:numCache>
                <c:formatCode>0.00E+00</c:formatCode>
                <c:ptCount val="8"/>
                <c:pt idx="0">
                  <c:v>633274907475.9436</c:v>
                </c:pt>
                <c:pt idx="1">
                  <c:v>14188601036.269432</c:v>
                </c:pt>
                <c:pt idx="2">
                  <c:v>1563641746.8541825</c:v>
                </c:pt>
                <c:pt idx="3">
                  <c:v>205142503.23159835</c:v>
                </c:pt>
                <c:pt idx="4">
                  <c:v>115825314.58179127</c:v>
                </c:pt>
                <c:pt idx="5">
                  <c:v>61079755.736491449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2BE-488F-9028-EC48B69825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logBase val="10"/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Da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CA">
                    <a:solidFill>
                      <a:sysClr val="windowText" lastClr="000000"/>
                    </a:solidFill>
                  </a:rPr>
                  <a:t>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E+00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Pe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Graphs!$H$47</c:f>
              <c:strCache>
                <c:ptCount val="1"/>
                <c:pt idx="0">
                  <c:v>4.89e6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Graphs!$N$44:$N$48</c:f>
              <c:numCache>
                <c:formatCode>0.00E+00</c:formatCode>
                <c:ptCount val="5"/>
                <c:pt idx="0">
                  <c:v>1.5236764091077271E-10</c:v>
                </c:pt>
                <c:pt idx="1">
                  <c:v>6.8005720545277493E-9</c:v>
                </c:pt>
                <c:pt idx="2">
                  <c:v>6.170889456886292E-8</c:v>
                </c:pt>
                <c:pt idx="3">
                  <c:v>4.7035890749155502E-7</c:v>
                </c:pt>
                <c:pt idx="4">
                  <c:v>8.9971568281402184E-6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EA-42B0-9F7A-F8BB35AB5991}"/>
            </c:ext>
          </c:extLst>
        </c:ser>
        <c:ser>
          <c:idx val="1"/>
          <c:order val="1"/>
          <c:tx>
            <c:strRef>
              <c:f>Graphs!$AN$52</c:f>
              <c:strCache>
                <c:ptCount val="1"/>
                <c:pt idx="0">
                  <c:v>2.44e6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Graphs!$AP$52:$AP$56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Graphs!$AT$52:$AT$56</c:f>
              <c:numCache>
                <c:formatCode>0.00E+00</c:formatCode>
                <c:ptCount val="5"/>
                <c:pt idx="0">
                  <c:v>1.5236764091077271E-10</c:v>
                </c:pt>
                <c:pt idx="1">
                  <c:v>6.8005720545277493E-9</c:v>
                </c:pt>
                <c:pt idx="2">
                  <c:v>6.170889456886292E-8</c:v>
                </c:pt>
                <c:pt idx="3">
                  <c:v>4.7035890749155502E-7</c:v>
                </c:pt>
                <c:pt idx="4">
                  <c:v>8.9971568281402184E-6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BEA-42B0-9F7A-F8BB35AB5991}"/>
            </c:ext>
          </c:extLst>
        </c:ser>
        <c:ser>
          <c:idx val="2"/>
          <c:order val="2"/>
          <c:tx>
            <c:strRef>
              <c:f>Graphs!$AN$44</c:f>
              <c:strCache>
                <c:ptCount val="1"/>
                <c:pt idx="0">
                  <c:v>4.89e5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Graphs!$AP$44:$AP$50</c:f>
              <c:numCache>
                <c:formatCode>General</c:formatCode>
                <c:ptCount val="7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0.25</c:v>
                </c:pt>
                <c:pt idx="5">
                  <c:v>0.19999999999999996</c:v>
                </c:pt>
                <c:pt idx="6">
                  <c:v>0.15000000000000002</c:v>
                </c:pt>
              </c:numCache>
            </c:numRef>
          </c:xVal>
          <c:yVal>
            <c:numRef>
              <c:f>Graphs!$AT$44:$AT$50</c:f>
              <c:numCache>
                <c:formatCode>0.00E+00</c:formatCode>
                <c:ptCount val="7"/>
                <c:pt idx="0">
                  <c:v>1.5236764091077271E-10</c:v>
                </c:pt>
                <c:pt idx="1">
                  <c:v>6.8005720545277493E-9</c:v>
                </c:pt>
                <c:pt idx="2">
                  <c:v>6.170889456886292E-8</c:v>
                </c:pt>
                <c:pt idx="3">
                  <c:v>4.7035890749155502E-7</c:v>
                </c:pt>
                <c:pt idx="4">
                  <c:v>8.3307007667964959E-7</c:v>
                </c:pt>
                <c:pt idx="5">
                  <c:v>1.5797477009628917E-6</c:v>
                </c:pt>
                <c:pt idx="6">
                  <c:v>3.3686199890758164E-6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BEA-42B0-9F7A-F8BB35AB5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Pe 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[-]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Da versus %TMD</a:t>
            </a:r>
          </a:p>
        </c:rich>
      </c:tx>
      <c:layout>
        <c:manualLayout>
          <c:xMode val="edge"/>
          <c:yMode val="edge"/>
          <c:x val="0.31747392537385061"/>
          <c:y val="3.36934764465101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Graphs!$H$47</c:f>
              <c:strCache>
                <c:ptCount val="1"/>
                <c:pt idx="0">
                  <c:v>4.89e6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Graphs!$O$44:$O$48</c:f>
              <c:numCache>
                <c:formatCode>0.00E+00</c:formatCode>
                <c:ptCount val="5"/>
                <c:pt idx="0">
                  <c:v>633274907475.9436</c:v>
                </c:pt>
                <c:pt idx="1">
                  <c:v>14188601036.269432</c:v>
                </c:pt>
                <c:pt idx="2">
                  <c:v>1563641746.8541825</c:v>
                </c:pt>
                <c:pt idx="3">
                  <c:v>205142503.23159835</c:v>
                </c:pt>
                <c:pt idx="4">
                  <c:v>10724566.164980669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42-4DAA-A678-F90609FE3D1B}"/>
            </c:ext>
          </c:extLst>
        </c:ser>
        <c:ser>
          <c:idx val="1"/>
          <c:order val="1"/>
          <c:tx>
            <c:strRef>
              <c:f>Graphs!$AN$52</c:f>
              <c:strCache>
                <c:ptCount val="1"/>
                <c:pt idx="0">
                  <c:v>2.44e6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Graphs!$AP$52:$AP$56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Graphs!$AU$52:$AU$56</c:f>
              <c:numCache>
                <c:formatCode>0.00E+00</c:formatCode>
                <c:ptCount val="5"/>
                <c:pt idx="0">
                  <c:v>315989933382.67938</c:v>
                </c:pt>
                <c:pt idx="1">
                  <c:v>7079792746.1139908</c:v>
                </c:pt>
                <c:pt idx="2">
                  <c:v>780222057.73501134</c:v>
                </c:pt>
                <c:pt idx="3">
                  <c:v>102361494.45503066</c:v>
                </c:pt>
                <c:pt idx="4">
                  <c:v>5351317.2684157118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42-4DAA-A678-F90609FE3D1B}"/>
            </c:ext>
          </c:extLst>
        </c:ser>
        <c:ser>
          <c:idx val="2"/>
          <c:order val="2"/>
          <c:tx>
            <c:strRef>
              <c:f>Graphs!$AN$44</c:f>
              <c:strCache>
                <c:ptCount val="1"/>
                <c:pt idx="0">
                  <c:v>4.89e5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Graphs!$AP$44:$AP$50</c:f>
              <c:numCache>
                <c:formatCode>General</c:formatCode>
                <c:ptCount val="7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0.25</c:v>
                </c:pt>
                <c:pt idx="5">
                  <c:v>0.19999999999999996</c:v>
                </c:pt>
                <c:pt idx="6">
                  <c:v>0.15000000000000002</c:v>
                </c:pt>
              </c:numCache>
            </c:numRef>
          </c:xVal>
          <c:yVal>
            <c:numRef>
              <c:f>Graphs!$AU$44:$AU$50</c:f>
              <c:numCache>
                <c:formatCode>0.00E+00</c:formatCode>
                <c:ptCount val="7"/>
                <c:pt idx="0">
                  <c:v>63327490747.594353</c:v>
                </c:pt>
                <c:pt idx="1">
                  <c:v>1418860103.6269431</c:v>
                </c:pt>
                <c:pt idx="2">
                  <c:v>156364174.68541825</c:v>
                </c:pt>
                <c:pt idx="3">
                  <c:v>20514250.323159833</c:v>
                </c:pt>
                <c:pt idx="4">
                  <c:v>11582531.458179127</c:v>
                </c:pt>
                <c:pt idx="5">
                  <c:v>6107975.5736491447</c:v>
                </c:pt>
                <c:pt idx="6">
                  <c:v>2864395.6282694167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942-4DAA-A678-F90609FE3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logBase val="10"/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Da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E+00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Mesh study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Graphs!$BP$43</c:f>
              <c:strCache>
                <c:ptCount val="1"/>
                <c:pt idx="0">
                  <c:v>Pe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Graphs!$BM$44:$BM$46</c:f>
              <c:numCache>
                <c:formatCode>General</c:formatCode>
                <c:ptCount val="3"/>
                <c:pt idx="0">
                  <c:v>60000</c:v>
                </c:pt>
                <c:pt idx="1">
                  <c:v>240000</c:v>
                </c:pt>
                <c:pt idx="2">
                  <c:v>119000</c:v>
                </c:pt>
              </c:numCache>
            </c:numRef>
          </c:xVal>
          <c:yVal>
            <c:numRef>
              <c:f>Graphs!$BP$44:$BP$46</c:f>
              <c:numCache>
                <c:formatCode>0.00000000E+00</c:formatCode>
                <c:ptCount val="3"/>
                <c:pt idx="0">
                  <c:v>4.2503575340798442E-6</c:v>
                </c:pt>
                <c:pt idx="1">
                  <c:v>4.2503575340798442E-6</c:v>
                </c:pt>
                <c:pt idx="2">
                  <c:v>4.2503575340798442E-6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51-4654-B156-90920F18FF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strRef>
                    <c:extLst>
                      <c:ext uri="{02D57815-91ED-43cb-92C2-25804820EDAC}">
                        <c15:formulaRef>
                          <c15:sqref>Graphs!$BO$43</c15:sqref>
                        </c15:formulaRef>
                      </c:ext>
                    </c:extLst>
                    <c:strCache>
                      <c:ptCount val="1"/>
                      <c:pt idx="0">
                        <c:v>avg v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Graphs!$BM$44:$BM$46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60000</c:v>
                      </c:pt>
                      <c:pt idx="1">
                        <c:v>240000</c:v>
                      </c:pt>
                      <c:pt idx="2">
                        <c:v>119000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Graphs!$BO$44:$BO$46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6.93</c:v>
                      </c:pt>
                      <c:pt idx="1">
                        <c:v>6.86</c:v>
                      </c:pt>
                      <c:pt idx="2">
                        <c:v>6.76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B151-4654-B156-90920F18FF17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Graphs!$BN$43</c15:sqref>
                        </c15:formulaRef>
                      </c:ext>
                    </c:extLst>
                    <c:strCache>
                      <c:ptCount val="1"/>
                      <c:pt idx="0">
                        <c:v>t_ign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Graphs!$BM$44:$BM$46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60000</c:v>
                      </c:pt>
                      <c:pt idx="1">
                        <c:v>240000</c:v>
                      </c:pt>
                      <c:pt idx="2">
                        <c:v>119000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Graphs!$BN$44:$BN$46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0.19134000000000001</c:v>
                      </c:pt>
                      <c:pt idx="1">
                        <c:v>0.27943200000000001</c:v>
                      </c:pt>
                      <c:pt idx="2">
                        <c:v>0.17893100000000001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B151-4654-B156-90920F18FF17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Graphs!$BQ$43</c15:sqref>
                        </c15:formulaRef>
                      </c:ext>
                    </c:extLst>
                    <c:strCache>
                      <c:ptCount val="1"/>
                      <c:pt idx="0">
                        <c:v>Da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Graphs!$BM$44:$BM$46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60000</c:v>
                      </c:pt>
                      <c:pt idx="1">
                        <c:v>240000</c:v>
                      </c:pt>
                      <c:pt idx="2">
                        <c:v>119000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Graphs!$BQ$44:$BQ$46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 formatCode="0.00E+00">
                        <c:v>22701761.658031091</c:v>
                      </c:pt>
                      <c:pt idx="1">
                        <c:v>22701761.658031091</c:v>
                      </c:pt>
                      <c:pt idx="2">
                        <c:v>22701761.658031091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B151-4654-B156-90920F18FF17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Grid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points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  <c:dispUnits>
          <c:builtInUnit val="ten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Pe 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[-]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00E+00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Non-dimensional BR vs 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Graphs!$X$42</c:f>
              <c:strCache>
                <c:ptCount val="1"/>
                <c:pt idx="0">
                  <c:v>COMPILED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Graphs!$AD$44:$AD$107</c:f>
              <c:numCache>
                <c:formatCode>0.00E+00</c:formatCode>
                <c:ptCount val="64"/>
                <c:pt idx="0">
                  <c:v>1.5236764091077271E-10</c:v>
                </c:pt>
                <c:pt idx="1">
                  <c:v>6.8005720545277493E-9</c:v>
                </c:pt>
                <c:pt idx="2">
                  <c:v>6.170889456886292E-8</c:v>
                </c:pt>
                <c:pt idx="3">
                  <c:v>4.7035890749155502E-7</c:v>
                </c:pt>
                <c:pt idx="4">
                  <c:v>8.9971568281402184E-6</c:v>
                </c:pt>
                <c:pt idx="5">
                  <c:v>1.5236764091077271E-10</c:v>
                </c:pt>
                <c:pt idx="6">
                  <c:v>6.8005720545277493E-9</c:v>
                </c:pt>
                <c:pt idx="7">
                  <c:v>6.170889456886292E-8</c:v>
                </c:pt>
                <c:pt idx="8">
                  <c:v>4.7035890749155502E-7</c:v>
                </c:pt>
                <c:pt idx="9">
                  <c:v>8.9971568281402184E-6</c:v>
                </c:pt>
                <c:pt idx="10">
                  <c:v>9.9038966592002252E-9</c:v>
                </c:pt>
                <c:pt idx="11">
                  <c:v>4.4203718354430375E-7</c:v>
                </c:pt>
                <c:pt idx="12">
                  <c:v>4.0110781469760892E-6</c:v>
                </c:pt>
                <c:pt idx="13">
                  <c:v>3.0573328986951078E-5</c:v>
                </c:pt>
                <c:pt idx="14">
                  <c:v>5.8481519382911425E-4</c:v>
                </c:pt>
                <c:pt idx="15">
                  <c:v>9.9038966592002255E-11</c:v>
                </c:pt>
                <c:pt idx="16">
                  <c:v>4.4203718354430376E-9</c:v>
                </c:pt>
                <c:pt idx="17">
                  <c:v>4.0110781469760893E-8</c:v>
                </c:pt>
                <c:pt idx="18">
                  <c:v>3.0573328986951076E-7</c:v>
                </c:pt>
                <c:pt idx="19">
                  <c:v>5.8481519382911431E-6</c:v>
                </c:pt>
                <c:pt idx="20">
                  <c:v>1.5236764091077274E-11</c:v>
                </c:pt>
                <c:pt idx="21">
                  <c:v>6.8005720545277518E-10</c:v>
                </c:pt>
                <c:pt idx="22">
                  <c:v>6.1708894568862925E-9</c:v>
                </c:pt>
                <c:pt idx="23">
                  <c:v>4.7035890749155488E-8</c:v>
                </c:pt>
                <c:pt idx="24">
                  <c:v>8.9971568281402203E-7</c:v>
                </c:pt>
                <c:pt idx="25">
                  <c:v>1.5236764091077272E-12</c:v>
                </c:pt>
                <c:pt idx="26">
                  <c:v>6.8005720545277503E-11</c:v>
                </c:pt>
                <c:pt idx="27">
                  <c:v>6.1708894568862925E-10</c:v>
                </c:pt>
                <c:pt idx="28">
                  <c:v>4.7035890749155494E-9</c:v>
                </c:pt>
                <c:pt idx="29">
                  <c:v>8.9971568281402213E-8</c:v>
                </c:pt>
                <c:pt idx="30" formatCode="General">
                  <c:v>9.5229775569232906E-8</c:v>
                </c:pt>
                <c:pt idx="31" formatCode="General">
                  <c:v>9.6420147763848325E-7</c:v>
                </c:pt>
                <c:pt idx="32" formatCode="General">
                  <c:v>2.1426699503077401E-6</c:v>
                </c:pt>
                <c:pt idx="33" formatCode="General">
                  <c:v>3.2663813020246892E-6</c:v>
                </c:pt>
                <c:pt idx="34" formatCode="General">
                  <c:v>3.7319436362824784E-6</c:v>
                </c:pt>
                <c:pt idx="35" formatCode="General">
                  <c:v>4.2503575340798442E-6</c:v>
                </c:pt>
                <c:pt idx="36" formatCode="General">
                  <c:v>4.8266374661336794E-6</c:v>
                </c:pt>
                <c:pt idx="37" formatCode="General">
                  <c:v>1.3713087681969545E-5</c:v>
                </c:pt>
                <c:pt idx="38" formatCode="General">
                  <c:v>9.5229775569232922E-10</c:v>
                </c:pt>
                <c:pt idx="39" formatCode="General">
                  <c:v>4.2503575340798434E-8</c:v>
                </c:pt>
                <c:pt idx="40" formatCode="General">
                  <c:v>3.8568059105539312E-7</c:v>
                </c:pt>
                <c:pt idx="41" formatCode="General">
                  <c:v>2.9397431718222178E-6</c:v>
                </c:pt>
                <c:pt idx="42" formatCode="General">
                  <c:v>5.6232230175876344E-5</c:v>
                </c:pt>
                <c:pt idx="43" formatCode="General">
                  <c:v>1.5236764091077271E-10</c:v>
                </c:pt>
                <c:pt idx="44" formatCode="General">
                  <c:v>6.8005720545277493E-9</c:v>
                </c:pt>
                <c:pt idx="45" formatCode="General">
                  <c:v>6.170889456886292E-8</c:v>
                </c:pt>
                <c:pt idx="46" formatCode="General">
                  <c:v>4.7035890749155502E-7</c:v>
                </c:pt>
                <c:pt idx="47" formatCode="General">
                  <c:v>8.3307007667964959E-7</c:v>
                </c:pt>
                <c:pt idx="48" formatCode="General">
                  <c:v>1.5797477009628917E-6</c:v>
                </c:pt>
                <c:pt idx="49" formatCode="General">
                  <c:v>3.3686199890758164E-6</c:v>
                </c:pt>
                <c:pt idx="50" formatCode="General">
                  <c:v>1.5236764091077271E-10</c:v>
                </c:pt>
                <c:pt idx="51" formatCode="General">
                  <c:v>6.8005720545277493E-9</c:v>
                </c:pt>
                <c:pt idx="52" formatCode="General">
                  <c:v>6.170889456886292E-8</c:v>
                </c:pt>
                <c:pt idx="53" formatCode="General">
                  <c:v>4.7035890749155502E-7</c:v>
                </c:pt>
                <c:pt idx="54" formatCode="General">
                  <c:v>8.9971568281402184E-6</c:v>
                </c:pt>
                <c:pt idx="55" formatCode="General">
                  <c:v>1.5236764091077271E-10</c:v>
                </c:pt>
                <c:pt idx="56" formatCode="General">
                  <c:v>6.8005720545277493E-9</c:v>
                </c:pt>
                <c:pt idx="57" formatCode="General">
                  <c:v>6.170889456886292E-8</c:v>
                </c:pt>
                <c:pt idx="58" formatCode="General">
                  <c:v>4.7035890749155502E-7</c:v>
                </c:pt>
                <c:pt idx="59" formatCode="General">
                  <c:v>8.3307007667964959E-7</c:v>
                </c:pt>
                <c:pt idx="60" formatCode="General">
                  <c:v>1.5797477009628917E-6</c:v>
                </c:pt>
                <c:pt idx="61" formatCode="General">
                  <c:v>1.5236764091077271E-10</c:v>
                </c:pt>
                <c:pt idx="62" formatCode="General">
                  <c:v>6.8005720545277493E-9</c:v>
                </c:pt>
                <c:pt idx="63" formatCode="General">
                  <c:v>6.170889456886292E-8</c:v>
                </c:pt>
              </c:numCache>
            </c:numRef>
          </c:xVal>
          <c:yVal>
            <c:numRef>
              <c:f>Graphs!$AC$44:$AC$107</c:f>
              <c:numCache>
                <c:formatCode>0.00E+00</c:formatCode>
                <c:ptCount val="64"/>
                <c:pt idx="0">
                  <c:v>72738119.91117689</c:v>
                </c:pt>
                <c:pt idx="1">
                  <c:v>2234196.8911917103</c:v>
                </c:pt>
                <c:pt idx="2">
                  <c:v>305373.79718726873</c:v>
                </c:pt>
                <c:pt idx="3">
                  <c:v>52928.723567252877</c:v>
                </c:pt>
                <c:pt idx="4">
                  <c:v>4813.9923787592161</c:v>
                </c:pt>
                <c:pt idx="5">
                  <c:v>75328201.332346395</c:v>
                </c:pt>
                <c:pt idx="6">
                  <c:v>2084283.2469775476</c:v>
                </c:pt>
                <c:pt idx="7">
                  <c:v>281391.56180606963</c:v>
                </c:pt>
                <c:pt idx="8">
                  <c:v>49013.256566240772</c:v>
                </c:pt>
                <c:pt idx="9">
                  <c:v>4510.6048560279978</c:v>
                </c:pt>
                <c:pt idx="10">
                  <c:v>13813767.579570685</c:v>
                </c:pt>
                <c:pt idx="11">
                  <c:v>391709.84455958556</c:v>
                </c:pt>
                <c:pt idx="12">
                  <c:v>51162.102146558114</c:v>
                </c:pt>
                <c:pt idx="13">
                  <c:v>8250.4483235612133</c:v>
                </c:pt>
                <c:pt idx="14">
                  <c:v>731.05427164149069</c:v>
                </c:pt>
                <c:pt idx="15">
                  <c:v>73817320.503330842</c:v>
                </c:pt>
                <c:pt idx="16">
                  <c:v>2161658.0310880831</c:v>
                </c:pt>
                <c:pt idx="17">
                  <c:v>312834.93708364182</c:v>
                </c:pt>
                <c:pt idx="18">
                  <c:v>57962.895425697003</c:v>
                </c:pt>
                <c:pt idx="19">
                  <c:v>5541.3913790424995</c:v>
                </c:pt>
                <c:pt idx="20">
                  <c:v>571976313.84159851</c:v>
                </c:pt>
                <c:pt idx="21">
                  <c:v>15233160.621761657</c:v>
                </c:pt>
                <c:pt idx="22">
                  <c:v>2131754.2561065881</c:v>
                </c:pt>
                <c:pt idx="23">
                  <c:v>379660.46099099488</c:v>
                </c:pt>
                <c:pt idx="24">
                  <c:v>35419.579461030211</c:v>
                </c:pt>
                <c:pt idx="25">
                  <c:v>5698179126.5729065</c:v>
                </c:pt>
                <c:pt idx="26">
                  <c:v>146528497.4093264</c:v>
                </c:pt>
                <c:pt idx="27">
                  <c:v>19398963.730569948</c:v>
                </c:pt>
                <c:pt idx="28">
                  <c:v>3328146.9508602861</c:v>
                </c:pt>
                <c:pt idx="29">
                  <c:v>293518.29006405844</c:v>
                </c:pt>
                <c:pt idx="30" formatCode="General">
                  <c:v>181305.69948186527</c:v>
                </c:pt>
                <c:pt idx="31" formatCode="General">
                  <c:v>20430.732790525541</c:v>
                </c:pt>
                <c:pt idx="32" formatCode="General">
                  <c:v>9715.6831976313861</c:v>
                </c:pt>
                <c:pt idx="33" formatCode="General">
                  <c:v>6977.3621958035601</c:v>
                </c:pt>
                <c:pt idx="34" formatCode="General">
                  <c:v>6415.3627399764237</c:v>
                </c:pt>
                <c:pt idx="35" formatCode="General">
                  <c:v>6259.620034542314</c:v>
                </c:pt>
                <c:pt idx="36" formatCode="General">
                  <c:v>7174.7802759421338</c:v>
                </c:pt>
                <c:pt idx="37" formatCode="General">
                  <c:v>4141.7320503330857</c:v>
                </c:pt>
                <c:pt idx="38" formatCode="General">
                  <c:v>10843807.54996299</c:v>
                </c:pt>
                <c:pt idx="39" formatCode="General">
                  <c:v>348186.52849740942</c:v>
                </c:pt>
                <c:pt idx="40" formatCode="General">
                  <c:v>52185.344189489289</c:v>
                </c:pt>
                <c:pt idx="41" formatCode="General">
                  <c:v>9665.6099682127333</c:v>
                </c:pt>
                <c:pt idx="42" formatCode="General">
                  <c:v>891.30136798530555</c:v>
                </c:pt>
                <c:pt idx="43" formatCode="General">
                  <c:v>19209770.540340483</c:v>
                </c:pt>
                <c:pt idx="44" formatCode="General">
                  <c:v>556131.26079447323</c:v>
                </c:pt>
                <c:pt idx="45" formatCode="General">
                  <c:v>83138.415988156936</c:v>
                </c:pt>
                <c:pt idx="46" formatCode="General">
                  <c:v>14543.163146616378</c:v>
                </c:pt>
                <c:pt idx="47" formatCode="General">
                  <c:v>8487.5400937577087</c:v>
                </c:pt>
                <c:pt idx="48" formatCode="General">
                  <c:v>6890.7290895632814</c:v>
                </c:pt>
                <c:pt idx="49" formatCode="General">
                  <c:v>58.57659771512099</c:v>
                </c:pt>
                <c:pt idx="50" formatCode="General">
                  <c:v>42736343.449296802</c:v>
                </c:pt>
                <c:pt idx="51" formatCode="General">
                  <c:v>1286355.7858376515</c:v>
                </c:pt>
                <c:pt idx="52" formatCode="General">
                  <c:v>190259.06735751298</c:v>
                </c:pt>
                <c:pt idx="53" formatCode="General">
                  <c:v>35029.445848340409</c:v>
                </c:pt>
                <c:pt idx="54" formatCode="General">
                  <c:v>3227.6046092971815</c:v>
                </c:pt>
                <c:pt idx="55" formatCode="General">
                  <c:v>29354256.106587708</c:v>
                </c:pt>
                <c:pt idx="56" formatCode="General">
                  <c:v>865630.39723661495</c:v>
                </c:pt>
                <c:pt idx="57" formatCode="General">
                  <c:v>130569.94818652852</c:v>
                </c:pt>
                <c:pt idx="58" formatCode="General">
                  <c:v>22933.449577356594</c:v>
                </c:pt>
                <c:pt idx="59" formatCode="General">
                  <c:v>15593.387614113002</c:v>
                </c:pt>
                <c:pt idx="60" formatCode="General">
                  <c:v>8826.7949666913337</c:v>
                </c:pt>
                <c:pt idx="61" formatCode="General">
                  <c:v>20936491.487786818</c:v>
                </c:pt>
                <c:pt idx="62" formatCode="General">
                  <c:v>618998.27288428333</c:v>
                </c:pt>
                <c:pt idx="63" formatCode="General">
                  <c:v>141228.71946706146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A45-45E0-97EE-6CE30863AE7B}"/>
            </c:ext>
          </c:extLst>
        </c:ser>
        <c:ser>
          <c:idx val="0"/>
          <c:order val="1"/>
          <c:tx>
            <c:strRef>
              <c:f>Graphs!$BT$44</c:f>
              <c:strCache>
                <c:ptCount val="1"/>
                <c:pt idx="0">
                  <c:v>Saceleanu2018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Graphs!$CI$44:$CI$60</c:f>
              <c:numCache>
                <c:formatCode>0.000E+00</c:formatCode>
                <c:ptCount val="17"/>
                <c:pt idx="0">
                  <c:v>2.6372373902985176E-7</c:v>
                </c:pt>
                <c:pt idx="1">
                  <c:v>2.5794658457378843E-8</c:v>
                </c:pt>
                <c:pt idx="2">
                  <c:v>2.5794658457378843E-8</c:v>
                </c:pt>
                <c:pt idx="3">
                  <c:v>2.3136734116422583E-8</c:v>
                </c:pt>
                <c:pt idx="4">
                  <c:v>1.4906306789876496E-9</c:v>
                </c:pt>
                <c:pt idx="5">
                  <c:v>1.203249374105137E-9</c:v>
                </c:pt>
                <c:pt idx="6">
                  <c:v>1.203249374105137E-9</c:v>
                </c:pt>
                <c:pt idx="7">
                  <c:v>2.6754886847602225E-7</c:v>
                </c:pt>
                <c:pt idx="8">
                  <c:v>9.3309415612002419E-9</c:v>
                </c:pt>
                <c:pt idx="9">
                  <c:v>7.6322284747926156E-9</c:v>
                </c:pt>
                <c:pt idx="10">
                  <c:v>2.8267512869602284E-9</c:v>
                </c:pt>
                <c:pt idx="11">
                  <c:v>1.2451150377426249E-9</c:v>
                </c:pt>
                <c:pt idx="12">
                  <c:v>2.3445003938620506E-7</c:v>
                </c:pt>
                <c:pt idx="13">
                  <c:v>1.0020737971928963E-8</c:v>
                </c:pt>
                <c:pt idx="14">
                  <c:v>2.4770500968208185E-9</c:v>
                </c:pt>
                <c:pt idx="15">
                  <c:v>1.8310770537716468E-9</c:v>
                </c:pt>
                <c:pt idx="16">
                  <c:v>9.8087198921567181E-10</c:v>
                </c:pt>
              </c:numCache>
            </c:numRef>
          </c:xVal>
          <c:yVal>
            <c:numRef>
              <c:f>Graphs!$CG$44:$CG$60</c:f>
              <c:numCache>
                <c:formatCode>General</c:formatCode>
                <c:ptCount val="17"/>
                <c:pt idx="0">
                  <c:v>856232.99806496815</c:v>
                </c:pt>
                <c:pt idx="1">
                  <c:v>379733.31721467827</c:v>
                </c:pt>
                <c:pt idx="2">
                  <c:v>284799.98791100871</c:v>
                </c:pt>
                <c:pt idx="3">
                  <c:v>529195.86517439352</c:v>
                </c:pt>
                <c:pt idx="4">
                  <c:v>3285552.6726084789</c:v>
                </c:pt>
                <c:pt idx="5">
                  <c:v>3052699.8704211214</c:v>
                </c:pt>
                <c:pt idx="6">
                  <c:v>7122966.3643159503</c:v>
                </c:pt>
                <c:pt idx="7">
                  <c:v>4699874.1708149966</c:v>
                </c:pt>
                <c:pt idx="8">
                  <c:v>2192110.5244999924</c:v>
                </c:pt>
                <c:pt idx="9">
                  <c:v>4020016.2902664999</c:v>
                </c:pt>
                <c:pt idx="10">
                  <c:v>7236029.3224797007</c:v>
                </c:pt>
                <c:pt idx="11">
                  <c:v>16427763.363042394</c:v>
                </c:pt>
                <c:pt idx="12">
                  <c:v>4699874.1708149966</c:v>
                </c:pt>
                <c:pt idx="13">
                  <c:v>1788691.3303248766</c:v>
                </c:pt>
                <c:pt idx="14">
                  <c:v>2532610.262867895</c:v>
                </c:pt>
                <c:pt idx="15">
                  <c:v>19577556.386201013</c:v>
                </c:pt>
                <c:pt idx="16">
                  <c:v>27410315.511475269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45-45E0-97EE-6CE30863AE7B}"/>
            </c:ext>
          </c:extLst>
        </c:ser>
        <c:ser>
          <c:idx val="1"/>
          <c:order val="2"/>
          <c:tx>
            <c:strRef>
              <c:f>Graphs!$BT$61</c:f>
              <c:strCache>
                <c:ptCount val="1"/>
                <c:pt idx="0">
                  <c:v>Weismiller2009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Graphs!$CI$61:$CI$69</c:f>
              <c:numCache>
                <c:formatCode>0.000E+00</c:formatCode>
                <c:ptCount val="9"/>
                <c:pt idx="0">
                  <c:v>1.7824860620501602E-3</c:v>
                </c:pt>
                <c:pt idx="1">
                  <c:v>4.0105936396128599E-3</c:v>
                </c:pt>
                <c:pt idx="2">
                  <c:v>7.1299442482006406E-3</c:v>
                </c:pt>
                <c:pt idx="3">
                  <c:v>1.6042374558451439E-2</c:v>
                </c:pt>
                <c:pt idx="4">
                  <c:v>3.6095342756515741E-2</c:v>
                </c:pt>
                <c:pt idx="5">
                  <c:v>4.4562151551254002E-2</c:v>
                </c:pt>
                <c:pt idx="6">
                  <c:v>0.14438137102606297</c:v>
                </c:pt>
                <c:pt idx="7">
                  <c:v>0.17824860620501601</c:v>
                </c:pt>
                <c:pt idx="8">
                  <c:v>0.32485808480864165</c:v>
                </c:pt>
              </c:numCache>
            </c:numRef>
          </c:xVal>
          <c:yVal>
            <c:numRef>
              <c:f>Graphs!$CG$61:$CG$69</c:f>
              <c:numCache>
                <c:formatCode>0.000E+00</c:formatCode>
                <c:ptCount val="9"/>
                <c:pt idx="0">
                  <c:v>18979.839660105252</c:v>
                </c:pt>
                <c:pt idx="1">
                  <c:v>14234.879745078943</c:v>
                </c:pt>
                <c:pt idx="2">
                  <c:v>8303.6798512960486</c:v>
                </c:pt>
                <c:pt idx="3">
                  <c:v>2372.4799575131569</c:v>
                </c:pt>
                <c:pt idx="4">
                  <c:v>210.88710733450284</c:v>
                </c:pt>
                <c:pt idx="5">
                  <c:v>142.34879745078939</c:v>
                </c:pt>
                <c:pt idx="6">
                  <c:v>39.541332625219283</c:v>
                </c:pt>
                <c:pt idx="7">
                  <c:v>4.7449599150263131</c:v>
                </c:pt>
                <c:pt idx="8">
                  <c:v>2.6360888416812851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45-45E0-97EE-6CE30863AE7B}"/>
            </c:ext>
          </c:extLst>
        </c:ser>
        <c:ser>
          <c:idx val="3"/>
          <c:order val="3"/>
          <c:tx>
            <c:strRef>
              <c:f>Graphs!$BT$70</c:f>
              <c:strCache>
                <c:ptCount val="1"/>
                <c:pt idx="0">
                  <c:v>Granier2004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Graphs!$CI$70:$CI$79</c:f>
              <c:numCache>
                <c:formatCode>0.000E+00</c:formatCode>
                <c:ptCount val="10"/>
                <c:pt idx="0">
                  <c:v>1.3618384671779393E-7</c:v>
                </c:pt>
                <c:pt idx="1">
                  <c:v>1.1461016802982656E-7</c:v>
                </c:pt>
                <c:pt idx="2">
                  <c:v>9.8098533652648161E-8</c:v>
                </c:pt>
                <c:pt idx="3">
                  <c:v>8.449362752563855E-8</c:v>
                </c:pt>
                <c:pt idx="4">
                  <c:v>7.3263461841851161E-8</c:v>
                </c:pt>
                <c:pt idx="5">
                  <c:v>8.1391127139931512E-8</c:v>
                </c:pt>
                <c:pt idx="6">
                  <c:v>7.0013872808543234E-8</c:v>
                </c:pt>
                <c:pt idx="7">
                  <c:v>6.0289723807356674E-8</c:v>
                </c:pt>
                <c:pt idx="8">
                  <c:v>5.1676906120591435E-8</c:v>
                </c:pt>
                <c:pt idx="9">
                  <c:v>4.4597877884893981E-8</c:v>
                </c:pt>
              </c:numCache>
            </c:numRef>
          </c:xVal>
          <c:yVal>
            <c:numRef>
              <c:f>Graphs!$CG$70:$CG$79</c:f>
              <c:numCache>
                <c:formatCode>0.000E+00</c:formatCode>
                <c:ptCount val="10"/>
                <c:pt idx="0">
                  <c:v>12108.784214210216</c:v>
                </c:pt>
                <c:pt idx="1">
                  <c:v>60543.921071051082</c:v>
                </c:pt>
                <c:pt idx="2">
                  <c:v>96870.27371368173</c:v>
                </c:pt>
                <c:pt idx="3">
                  <c:v>24217.568428420433</c:v>
                </c:pt>
                <c:pt idx="4">
                  <c:v>12108.784214210216</c:v>
                </c:pt>
                <c:pt idx="5">
                  <c:v>43053.454983858552</c:v>
                </c:pt>
                <c:pt idx="6">
                  <c:v>86106.909967717103</c:v>
                </c:pt>
                <c:pt idx="7">
                  <c:v>129160.36495157567</c:v>
                </c:pt>
                <c:pt idx="8">
                  <c:v>21526.727491929276</c:v>
                </c:pt>
                <c:pt idx="9">
                  <c:v>21526.727491929276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F7-4B69-A299-0FBA74DBC5C3}"/>
            </c:ext>
          </c:extLst>
        </c:ser>
        <c:ser>
          <c:idx val="4"/>
          <c:order val="4"/>
          <c:tx>
            <c:strRef>
              <c:f>Graphs!$BT$80</c:f>
              <c:strCache>
                <c:ptCount val="1"/>
                <c:pt idx="0">
                  <c:v>Ahn2013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Graphs!$CI$80:$CI$84</c:f>
              <c:numCache>
                <c:formatCode>0.000E+00</c:formatCode>
                <c:ptCount val="5"/>
                <c:pt idx="0">
                  <c:v>1.3317077313933726E-7</c:v>
                </c:pt>
                <c:pt idx="1">
                  <c:v>6.6292452601367036E-8</c:v>
                </c:pt>
                <c:pt idx="2">
                  <c:v>3.3000313883170584E-8</c:v>
                </c:pt>
                <c:pt idx="3">
                  <c:v>8.1880119082230231E-9</c:v>
                </c:pt>
                <c:pt idx="4">
                  <c:v>6.9982726171599647E-10</c:v>
                </c:pt>
              </c:numCache>
            </c:numRef>
          </c:xVal>
          <c:yVal>
            <c:numRef>
              <c:f>Graphs!$CG$80:$CG$84</c:f>
              <c:numCache>
                <c:formatCode>0.000E+00</c:formatCode>
                <c:ptCount val="5"/>
                <c:pt idx="0">
                  <c:v>1757272.3824365188</c:v>
                </c:pt>
                <c:pt idx="1">
                  <c:v>2715442.2168211401</c:v>
                </c:pt>
                <c:pt idx="2">
                  <c:v>5000322.5624970505</c:v>
                </c:pt>
                <c:pt idx="3">
                  <c:v>18320821.389864635</c:v>
                </c:pt>
                <c:pt idx="4">
                  <c:v>192919025.48455524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DF7-4B69-A299-0FBA74DBC5C3}"/>
            </c:ext>
          </c:extLst>
        </c:ser>
        <c:ser>
          <c:idx val="5"/>
          <c:order val="5"/>
          <c:tx>
            <c:strRef>
              <c:f>Graphs!$BT$85</c:f>
              <c:strCache>
                <c:ptCount val="1"/>
                <c:pt idx="0">
                  <c:v>Dean2010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Graphs!$CI$85:$CI$93</c:f>
              <c:numCache>
                <c:formatCode>0.000E+00</c:formatCode>
                <c:ptCount val="9"/>
                <c:pt idx="0">
                  <c:v>2.783285219512232E-7</c:v>
                </c:pt>
                <c:pt idx="1">
                  <c:v>2.3525386974448629E-7</c:v>
                </c:pt>
                <c:pt idx="2">
                  <c:v>2.0372500060347268E-7</c:v>
                </c:pt>
                <c:pt idx="3">
                  <c:v>1.9185752484016358E-7</c:v>
                </c:pt>
                <c:pt idx="4">
                  <c:v>1.8820309579558904E-7</c:v>
                </c:pt>
                <c:pt idx="5">
                  <c:v>1.846852809209051E-7</c:v>
                </c:pt>
                <c:pt idx="6">
                  <c:v>1.8129656017006283E-7</c:v>
                </c:pt>
                <c:pt idx="7">
                  <c:v>1.7035625050462801E-7</c:v>
                </c:pt>
                <c:pt idx="8">
                  <c:v>1.5936552466561974E-7</c:v>
                </c:pt>
              </c:numCache>
            </c:numRef>
          </c:xVal>
          <c:yVal>
            <c:numRef>
              <c:f>Graphs!$CG$85:$CG$93</c:f>
              <c:numCache>
                <c:formatCode>0.000E+00</c:formatCode>
                <c:ptCount val="9"/>
                <c:pt idx="0">
                  <c:v>3245214.9157750499</c:v>
                </c:pt>
                <c:pt idx="1">
                  <c:v>3245214.9157750499</c:v>
                </c:pt>
                <c:pt idx="2">
                  <c:v>3353388.746300885</c:v>
                </c:pt>
                <c:pt idx="3">
                  <c:v>3245214.9157750499</c:v>
                </c:pt>
                <c:pt idx="4">
                  <c:v>2704345.7631458752</c:v>
                </c:pt>
                <c:pt idx="5">
                  <c:v>4218779.3905075649</c:v>
                </c:pt>
                <c:pt idx="6">
                  <c:v>3245214.9157750499</c:v>
                </c:pt>
                <c:pt idx="7">
                  <c:v>2704345.7631458752</c:v>
                </c:pt>
                <c:pt idx="8">
                  <c:v>2433911.1868312876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DF7-4B69-A299-0FBA74DBC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128080"/>
        <c:axId val="403134968"/>
      </c:scatterChart>
      <c:valAx>
        <c:axId val="403128080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Pe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134968"/>
        <c:crosses val="autoZero"/>
        <c:crossBetween val="midCat"/>
      </c:valAx>
      <c:valAx>
        <c:axId val="403134968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V*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128080"/>
        <c:crossesAt val="1.0000000000000006E-12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2"/>
          <c:order val="2"/>
          <c:tx>
            <c:strRef>
              <c:f>Src!$J$6</c:f>
              <c:strCache>
                <c:ptCount val="1"/>
                <c:pt idx="0">
                  <c:v>600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Src!$I$8:$I$108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Src!$K$8:$K$108</c:f>
              <c:numCache>
                <c:formatCode>0.00E+00</c:formatCode>
                <c:ptCount val="101"/>
                <c:pt idx="0">
                  <c:v>2701175389277.542</c:v>
                </c:pt>
                <c:pt idx="1">
                  <c:v>2674163635384.7671</c:v>
                </c:pt>
                <c:pt idx="2">
                  <c:v>2647151881491.9912</c:v>
                </c:pt>
                <c:pt idx="3">
                  <c:v>2620140127599.2158</c:v>
                </c:pt>
                <c:pt idx="4">
                  <c:v>2593128373706.4404</c:v>
                </c:pt>
                <c:pt idx="5">
                  <c:v>2566116619813.665</c:v>
                </c:pt>
                <c:pt idx="6">
                  <c:v>2539104865920.8892</c:v>
                </c:pt>
                <c:pt idx="7">
                  <c:v>2512093112028.1143</c:v>
                </c:pt>
                <c:pt idx="8">
                  <c:v>2485081358135.3384</c:v>
                </c:pt>
                <c:pt idx="9">
                  <c:v>2458069604242.5635</c:v>
                </c:pt>
                <c:pt idx="10">
                  <c:v>2431057850349.7881</c:v>
                </c:pt>
                <c:pt idx="11">
                  <c:v>2404046096457.0127</c:v>
                </c:pt>
                <c:pt idx="12">
                  <c:v>2377034342564.2373</c:v>
                </c:pt>
                <c:pt idx="13">
                  <c:v>2350022588671.4614</c:v>
                </c:pt>
                <c:pt idx="14">
                  <c:v>2323010834778.6865</c:v>
                </c:pt>
                <c:pt idx="15">
                  <c:v>2295999080885.9106</c:v>
                </c:pt>
                <c:pt idx="16">
                  <c:v>2268987326993.1353</c:v>
                </c:pt>
                <c:pt idx="17">
                  <c:v>2241975573100.3599</c:v>
                </c:pt>
                <c:pt idx="18">
                  <c:v>2214963819207.585</c:v>
                </c:pt>
                <c:pt idx="19">
                  <c:v>2187952065314.8093</c:v>
                </c:pt>
                <c:pt idx="20">
                  <c:v>2160940311422.0337</c:v>
                </c:pt>
                <c:pt idx="21">
                  <c:v>2133928557529.2581</c:v>
                </c:pt>
                <c:pt idx="22">
                  <c:v>2106916803636.4829</c:v>
                </c:pt>
                <c:pt idx="23">
                  <c:v>2079905049743.7075</c:v>
                </c:pt>
                <c:pt idx="24">
                  <c:v>2052893295850.9319</c:v>
                </c:pt>
                <c:pt idx="25">
                  <c:v>2025881541958.1565</c:v>
                </c:pt>
                <c:pt idx="26">
                  <c:v>1998869788065.3813</c:v>
                </c:pt>
                <c:pt idx="27">
                  <c:v>1971858034172.6057</c:v>
                </c:pt>
                <c:pt idx="28">
                  <c:v>1944846280279.8303</c:v>
                </c:pt>
                <c:pt idx="29">
                  <c:v>1917834526387.0547</c:v>
                </c:pt>
                <c:pt idx="30">
                  <c:v>1890822772494.2798</c:v>
                </c:pt>
                <c:pt idx="31">
                  <c:v>1863811018601.5037</c:v>
                </c:pt>
                <c:pt idx="32">
                  <c:v>1836799264708.7285</c:v>
                </c:pt>
                <c:pt idx="33">
                  <c:v>1809787510815.9531</c:v>
                </c:pt>
                <c:pt idx="34">
                  <c:v>1782775756923.1775</c:v>
                </c:pt>
                <c:pt idx="35">
                  <c:v>1755764003030.4021</c:v>
                </c:pt>
                <c:pt idx="36">
                  <c:v>1728752249137.627</c:v>
                </c:pt>
                <c:pt idx="37">
                  <c:v>1701740495244.8516</c:v>
                </c:pt>
                <c:pt idx="38">
                  <c:v>1674728741352.0762</c:v>
                </c:pt>
                <c:pt idx="39">
                  <c:v>1647716987459.3005</c:v>
                </c:pt>
                <c:pt idx="40">
                  <c:v>1620705233566.5254</c:v>
                </c:pt>
                <c:pt idx="41">
                  <c:v>1593693479673.75</c:v>
                </c:pt>
                <c:pt idx="42">
                  <c:v>1566681725780.9749</c:v>
                </c:pt>
                <c:pt idx="43">
                  <c:v>1539669971888.1992</c:v>
                </c:pt>
                <c:pt idx="44">
                  <c:v>1512658217995.4238</c:v>
                </c:pt>
                <c:pt idx="45">
                  <c:v>1485646464102.6482</c:v>
                </c:pt>
                <c:pt idx="46">
                  <c:v>1458634710209.8726</c:v>
                </c:pt>
                <c:pt idx="47">
                  <c:v>1431622956317.0974</c:v>
                </c:pt>
                <c:pt idx="48">
                  <c:v>1404611202424.3218</c:v>
                </c:pt>
                <c:pt idx="49">
                  <c:v>1377599448531.5466</c:v>
                </c:pt>
                <c:pt idx="50">
                  <c:v>1350587694638.771</c:v>
                </c:pt>
                <c:pt idx="51">
                  <c:v>1323575940745.9956</c:v>
                </c:pt>
                <c:pt idx="52">
                  <c:v>1296564186853.2202</c:v>
                </c:pt>
                <c:pt idx="53">
                  <c:v>1269552432960.4446</c:v>
                </c:pt>
                <c:pt idx="54">
                  <c:v>1242540679067.6692</c:v>
                </c:pt>
                <c:pt idx="55">
                  <c:v>1215528925174.894</c:v>
                </c:pt>
                <c:pt idx="56">
                  <c:v>1188517171282.1184</c:v>
                </c:pt>
                <c:pt idx="57">
                  <c:v>1161505417389.3433</c:v>
                </c:pt>
                <c:pt idx="58">
                  <c:v>1134493663496.5676</c:v>
                </c:pt>
                <c:pt idx="59">
                  <c:v>1107481909603.7925</c:v>
                </c:pt>
                <c:pt idx="60">
                  <c:v>1080470155711.0168</c:v>
                </c:pt>
                <c:pt idx="61">
                  <c:v>1053458401818.2415</c:v>
                </c:pt>
                <c:pt idx="62">
                  <c:v>1026446647925.4659</c:v>
                </c:pt>
                <c:pt idx="63">
                  <c:v>999434894032.69067</c:v>
                </c:pt>
                <c:pt idx="64">
                  <c:v>972423140139.91516</c:v>
                </c:pt>
                <c:pt idx="65">
                  <c:v>945411386247.13989</c:v>
                </c:pt>
                <c:pt idx="66">
                  <c:v>918399632354.36426</c:v>
                </c:pt>
                <c:pt idx="67">
                  <c:v>891387878461.58875</c:v>
                </c:pt>
                <c:pt idx="68">
                  <c:v>864376124568.81323</c:v>
                </c:pt>
                <c:pt idx="69">
                  <c:v>837364370676.03809</c:v>
                </c:pt>
                <c:pt idx="70">
                  <c:v>810352616783.26282</c:v>
                </c:pt>
                <c:pt idx="71">
                  <c:v>783340862890.48743</c:v>
                </c:pt>
                <c:pt idx="72">
                  <c:v>756329108997.71191</c:v>
                </c:pt>
                <c:pt idx="73">
                  <c:v>729317355104.93628</c:v>
                </c:pt>
                <c:pt idx="74">
                  <c:v>702305601212.16089</c:v>
                </c:pt>
                <c:pt idx="75">
                  <c:v>675293847319.3855</c:v>
                </c:pt>
                <c:pt idx="76">
                  <c:v>648282093426.61011</c:v>
                </c:pt>
                <c:pt idx="77">
                  <c:v>621270339533.83459</c:v>
                </c:pt>
                <c:pt idx="78">
                  <c:v>594258585641.0592</c:v>
                </c:pt>
                <c:pt idx="79">
                  <c:v>567246831748.28369</c:v>
                </c:pt>
                <c:pt idx="80">
                  <c:v>540235077855.50824</c:v>
                </c:pt>
                <c:pt idx="81">
                  <c:v>513223323962.73291</c:v>
                </c:pt>
                <c:pt idx="82">
                  <c:v>486211570069.9577</c:v>
                </c:pt>
                <c:pt idx="83">
                  <c:v>459199816177.18231</c:v>
                </c:pt>
                <c:pt idx="84">
                  <c:v>432188062284.4068</c:v>
                </c:pt>
                <c:pt idx="85">
                  <c:v>405176308391.63141</c:v>
                </c:pt>
                <c:pt idx="86">
                  <c:v>378164554498.85596</c:v>
                </c:pt>
                <c:pt idx="87">
                  <c:v>351152800606.08044</c:v>
                </c:pt>
                <c:pt idx="88">
                  <c:v>324141046713.30505</c:v>
                </c:pt>
                <c:pt idx="89">
                  <c:v>297129292820.5296</c:v>
                </c:pt>
                <c:pt idx="90">
                  <c:v>270117538927.75412</c:v>
                </c:pt>
                <c:pt idx="91">
                  <c:v>243105785034.9787</c:v>
                </c:pt>
                <c:pt idx="92">
                  <c:v>216094031142.20328</c:v>
                </c:pt>
                <c:pt idx="93">
                  <c:v>189082277249.42783</c:v>
                </c:pt>
                <c:pt idx="94">
                  <c:v>162070523356.65268</c:v>
                </c:pt>
                <c:pt idx="95">
                  <c:v>135058769463.87723</c:v>
                </c:pt>
                <c:pt idx="96">
                  <c:v>108047015571.10179</c:v>
                </c:pt>
                <c:pt idx="97">
                  <c:v>81035261678.32634</c:v>
                </c:pt>
                <c:pt idx="98">
                  <c:v>54023507785.550896</c:v>
                </c:pt>
                <c:pt idx="99">
                  <c:v>27011753892.775448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5F1-4407-B714-670434925A74}"/>
            </c:ext>
          </c:extLst>
        </c:ser>
        <c:ser>
          <c:idx val="5"/>
          <c:order val="5"/>
          <c:tx>
            <c:strRef>
              <c:f>Src!$V$6</c:f>
              <c:strCache>
                <c:ptCount val="1"/>
                <c:pt idx="0">
                  <c:v>790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Src!$U$8:$U$108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Src!$W$8:$W$108</c:f>
              <c:numCache>
                <c:formatCode>0.00E+00</c:formatCode>
                <c:ptCount val="101"/>
                <c:pt idx="0">
                  <c:v>2732813561837.4897</c:v>
                </c:pt>
                <c:pt idx="1">
                  <c:v>2705485426219.1147</c:v>
                </c:pt>
                <c:pt idx="2">
                  <c:v>2678157290600.7397</c:v>
                </c:pt>
                <c:pt idx="3">
                  <c:v>2650829154982.3652</c:v>
                </c:pt>
                <c:pt idx="4">
                  <c:v>2623501019363.9902</c:v>
                </c:pt>
                <c:pt idx="5">
                  <c:v>2596172883745.6157</c:v>
                </c:pt>
                <c:pt idx="6">
                  <c:v>2568844748127.2402</c:v>
                </c:pt>
                <c:pt idx="7">
                  <c:v>2541516612508.8652</c:v>
                </c:pt>
                <c:pt idx="8">
                  <c:v>2514188476890.4907</c:v>
                </c:pt>
                <c:pt idx="9">
                  <c:v>2486860341272.1157</c:v>
                </c:pt>
                <c:pt idx="10">
                  <c:v>2459532205653.7407</c:v>
                </c:pt>
                <c:pt idx="11">
                  <c:v>2432204070035.3657</c:v>
                </c:pt>
                <c:pt idx="12">
                  <c:v>2404875934416.9912</c:v>
                </c:pt>
                <c:pt idx="13">
                  <c:v>2377547798798.6162</c:v>
                </c:pt>
                <c:pt idx="14">
                  <c:v>2350219663180.2412</c:v>
                </c:pt>
                <c:pt idx="15">
                  <c:v>2322891527561.8662</c:v>
                </c:pt>
                <c:pt idx="16">
                  <c:v>2295563391943.4917</c:v>
                </c:pt>
                <c:pt idx="17">
                  <c:v>2268235256325.1167</c:v>
                </c:pt>
                <c:pt idx="18">
                  <c:v>2240907120706.7422</c:v>
                </c:pt>
                <c:pt idx="19">
                  <c:v>2213578985088.3667</c:v>
                </c:pt>
                <c:pt idx="20">
                  <c:v>2186250849469.9917</c:v>
                </c:pt>
                <c:pt idx="21">
                  <c:v>2158922713851.6172</c:v>
                </c:pt>
                <c:pt idx="22">
                  <c:v>2131594578233.2419</c:v>
                </c:pt>
                <c:pt idx="23">
                  <c:v>2104266442614.8672</c:v>
                </c:pt>
                <c:pt idx="24">
                  <c:v>2076938306996.4924</c:v>
                </c:pt>
                <c:pt idx="25">
                  <c:v>2049610171378.1172</c:v>
                </c:pt>
                <c:pt idx="26">
                  <c:v>2022282035759.7424</c:v>
                </c:pt>
                <c:pt idx="27">
                  <c:v>1994953900141.3677</c:v>
                </c:pt>
                <c:pt idx="28">
                  <c:v>1967625764522.9927</c:v>
                </c:pt>
                <c:pt idx="29">
                  <c:v>1940297628904.6179</c:v>
                </c:pt>
                <c:pt idx="30">
                  <c:v>1912969493286.2432</c:v>
                </c:pt>
                <c:pt idx="31">
                  <c:v>1885641357667.8679</c:v>
                </c:pt>
                <c:pt idx="32">
                  <c:v>1858313222049.4927</c:v>
                </c:pt>
                <c:pt idx="33">
                  <c:v>1830985086431.1179</c:v>
                </c:pt>
                <c:pt idx="34">
                  <c:v>1803656950812.7427</c:v>
                </c:pt>
                <c:pt idx="35">
                  <c:v>1776328815194.3687</c:v>
                </c:pt>
                <c:pt idx="36">
                  <c:v>1749000679575.9934</c:v>
                </c:pt>
                <c:pt idx="37">
                  <c:v>1721672543957.6187</c:v>
                </c:pt>
                <c:pt idx="38">
                  <c:v>1694344408339.2437</c:v>
                </c:pt>
                <c:pt idx="39">
                  <c:v>1667016272720.8689</c:v>
                </c:pt>
                <c:pt idx="40">
                  <c:v>1639688137102.4941</c:v>
                </c:pt>
                <c:pt idx="41">
                  <c:v>1612360001484.1194</c:v>
                </c:pt>
                <c:pt idx="42">
                  <c:v>1585031865865.7444</c:v>
                </c:pt>
                <c:pt idx="43">
                  <c:v>1557703730247.3696</c:v>
                </c:pt>
                <c:pt idx="44">
                  <c:v>1530375594628.9944</c:v>
                </c:pt>
                <c:pt idx="45">
                  <c:v>1503047459010.6194</c:v>
                </c:pt>
                <c:pt idx="46">
                  <c:v>1475719323392.2446</c:v>
                </c:pt>
                <c:pt idx="47">
                  <c:v>1448391187773.8694</c:v>
                </c:pt>
                <c:pt idx="48">
                  <c:v>1421063052155.4946</c:v>
                </c:pt>
                <c:pt idx="49">
                  <c:v>1393734916537.1199</c:v>
                </c:pt>
                <c:pt idx="50">
                  <c:v>1366406780918.7449</c:v>
                </c:pt>
                <c:pt idx="51">
                  <c:v>1339078645300.3699</c:v>
                </c:pt>
                <c:pt idx="52">
                  <c:v>1311750509681.9951</c:v>
                </c:pt>
                <c:pt idx="53">
                  <c:v>1284422374063.6201</c:v>
                </c:pt>
                <c:pt idx="54">
                  <c:v>1257094238445.2454</c:v>
                </c:pt>
                <c:pt idx="55">
                  <c:v>1229766102826.8701</c:v>
                </c:pt>
                <c:pt idx="56">
                  <c:v>1202437967208.4954</c:v>
                </c:pt>
                <c:pt idx="57">
                  <c:v>1175109831590.1206</c:v>
                </c:pt>
                <c:pt idx="58">
                  <c:v>1147781695971.7458</c:v>
                </c:pt>
                <c:pt idx="59">
                  <c:v>1120453560353.3711</c:v>
                </c:pt>
                <c:pt idx="60">
                  <c:v>1093125424734.9958</c:v>
                </c:pt>
                <c:pt idx="61">
                  <c:v>1065797289116.621</c:v>
                </c:pt>
                <c:pt idx="62">
                  <c:v>1038469153498.2462</c:v>
                </c:pt>
                <c:pt idx="63">
                  <c:v>1011141017879.8712</c:v>
                </c:pt>
                <c:pt idx="64">
                  <c:v>983812882261.49634</c:v>
                </c:pt>
                <c:pt idx="65">
                  <c:v>956484746643.12158</c:v>
                </c:pt>
                <c:pt idx="66">
                  <c:v>929156611024.74634</c:v>
                </c:pt>
                <c:pt idx="67">
                  <c:v>901828475406.37134</c:v>
                </c:pt>
                <c:pt idx="68">
                  <c:v>874500339787.99658</c:v>
                </c:pt>
                <c:pt idx="69">
                  <c:v>847172204169.62183</c:v>
                </c:pt>
                <c:pt idx="70">
                  <c:v>819844068551.24707</c:v>
                </c:pt>
                <c:pt idx="71">
                  <c:v>792515932932.87219</c:v>
                </c:pt>
                <c:pt idx="72">
                  <c:v>765187797314.49719</c:v>
                </c:pt>
                <c:pt idx="73">
                  <c:v>737859661696.12231</c:v>
                </c:pt>
                <c:pt idx="74">
                  <c:v>710531526077.74731</c:v>
                </c:pt>
                <c:pt idx="75">
                  <c:v>683203390459.37244</c:v>
                </c:pt>
                <c:pt idx="76">
                  <c:v>655875254840.99756</c:v>
                </c:pt>
                <c:pt idx="77">
                  <c:v>628547119222.62268</c:v>
                </c:pt>
                <c:pt idx="78">
                  <c:v>601218983604.24768</c:v>
                </c:pt>
                <c:pt idx="79">
                  <c:v>573890847985.8728</c:v>
                </c:pt>
                <c:pt idx="80">
                  <c:v>546562712367.4978</c:v>
                </c:pt>
                <c:pt idx="81">
                  <c:v>519234576749.12292</c:v>
                </c:pt>
                <c:pt idx="82">
                  <c:v>491906441130.74835</c:v>
                </c:pt>
                <c:pt idx="83">
                  <c:v>464578305512.37335</c:v>
                </c:pt>
                <c:pt idx="84">
                  <c:v>437250169893.99847</c:v>
                </c:pt>
                <c:pt idx="85">
                  <c:v>409922034275.62354</c:v>
                </c:pt>
                <c:pt idx="86">
                  <c:v>382593898657.2486</c:v>
                </c:pt>
                <c:pt idx="87">
                  <c:v>355265763038.87366</c:v>
                </c:pt>
                <c:pt idx="88">
                  <c:v>327937627420.49878</c:v>
                </c:pt>
                <c:pt idx="89">
                  <c:v>300609491802.12384</c:v>
                </c:pt>
                <c:pt idx="90">
                  <c:v>273281356183.7489</c:v>
                </c:pt>
                <c:pt idx="91">
                  <c:v>245953220565.37399</c:v>
                </c:pt>
                <c:pt idx="92">
                  <c:v>218625084946.99905</c:v>
                </c:pt>
                <c:pt idx="93">
                  <c:v>191296949328.62418</c:v>
                </c:pt>
                <c:pt idx="94">
                  <c:v>163968813710.24954</c:v>
                </c:pt>
                <c:pt idx="95">
                  <c:v>136640678091.87462</c:v>
                </c:pt>
                <c:pt idx="96">
                  <c:v>109312542473.49969</c:v>
                </c:pt>
                <c:pt idx="97">
                  <c:v>81984406855.124771</c:v>
                </c:pt>
                <c:pt idx="98">
                  <c:v>54656271236.749847</c:v>
                </c:pt>
                <c:pt idx="99">
                  <c:v>27328135618.374924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957-4B66-BCD4-8A9792B817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622200"/>
        <c:axId val="50562187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Src!$B$6</c15:sqref>
                        </c15:formulaRef>
                      </c:ext>
                    </c:extLst>
                    <c:strCache>
                      <c:ptCount val="1"/>
                      <c:pt idx="0">
                        <c:v>300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Src!$A$8:$A$108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Src!$C$8:$C$108</c15:sqref>
                        </c15:formulaRef>
                      </c:ext>
                    </c:extLst>
                    <c:numCache>
                      <c:formatCode>0.00E+00</c:formatCode>
                      <c:ptCount val="101"/>
                      <c:pt idx="0">
                        <c:v>178908369.83514243</c:v>
                      </c:pt>
                      <c:pt idx="1">
                        <c:v>177119286.13679102</c:v>
                      </c:pt>
                      <c:pt idx="2">
                        <c:v>175330202.43843964</c:v>
                      </c:pt>
                      <c:pt idx="3">
                        <c:v>173541118.74008819</c:v>
                      </c:pt>
                      <c:pt idx="4">
                        <c:v>171752035.04173678</c:v>
                      </c:pt>
                      <c:pt idx="5">
                        <c:v>169962951.34338534</c:v>
                      </c:pt>
                      <c:pt idx="6">
                        <c:v>168173867.64503393</c:v>
                      </c:pt>
                      <c:pt idx="7">
                        <c:v>166384783.94668248</c:v>
                      </c:pt>
                      <c:pt idx="8">
                        <c:v>164595700.24833107</c:v>
                      </c:pt>
                      <c:pt idx="9">
                        <c:v>162806616.54997963</c:v>
                      </c:pt>
                      <c:pt idx="10">
                        <c:v>161017532.85162821</c:v>
                      </c:pt>
                      <c:pt idx="11">
                        <c:v>159228449.15327677</c:v>
                      </c:pt>
                      <c:pt idx="12">
                        <c:v>157439365.45492536</c:v>
                      </c:pt>
                      <c:pt idx="13">
                        <c:v>155650281.75657395</c:v>
                      </c:pt>
                      <c:pt idx="14">
                        <c:v>153861198.05822253</c:v>
                      </c:pt>
                      <c:pt idx="15">
                        <c:v>152072114.35987109</c:v>
                      </c:pt>
                      <c:pt idx="16">
                        <c:v>150283030.66151968</c:v>
                      </c:pt>
                      <c:pt idx="17">
                        <c:v>148493946.96316823</c:v>
                      </c:pt>
                      <c:pt idx="18">
                        <c:v>146704863.26481685</c:v>
                      </c:pt>
                      <c:pt idx="19">
                        <c:v>144915779.56646544</c:v>
                      </c:pt>
                      <c:pt idx="20">
                        <c:v>143126695.86811396</c:v>
                      </c:pt>
                      <c:pt idx="21">
                        <c:v>141337612.16976252</c:v>
                      </c:pt>
                      <c:pt idx="22">
                        <c:v>139548528.47141111</c:v>
                      </c:pt>
                      <c:pt idx="23">
                        <c:v>137759444.77305973</c:v>
                      </c:pt>
                      <c:pt idx="24">
                        <c:v>135970361.07470828</c:v>
                      </c:pt>
                      <c:pt idx="25">
                        <c:v>134181277.37635686</c:v>
                      </c:pt>
                      <c:pt idx="26">
                        <c:v>132392193.67800543</c:v>
                      </c:pt>
                      <c:pt idx="27">
                        <c:v>130603109.97965401</c:v>
                      </c:pt>
                      <c:pt idx="28">
                        <c:v>128814026.28130257</c:v>
                      </c:pt>
                      <c:pt idx="29">
                        <c:v>127024942.58295116</c:v>
                      </c:pt>
                      <c:pt idx="30">
                        <c:v>125235858.88459972</c:v>
                      </c:pt>
                      <c:pt idx="31">
                        <c:v>123446775.18624827</c:v>
                      </c:pt>
                      <c:pt idx="32">
                        <c:v>121657691.48789686</c:v>
                      </c:pt>
                      <c:pt idx="33">
                        <c:v>119868607.78954545</c:v>
                      </c:pt>
                      <c:pt idx="34">
                        <c:v>118079524.091194</c:v>
                      </c:pt>
                      <c:pt idx="35">
                        <c:v>116290440.39284259</c:v>
                      </c:pt>
                      <c:pt idx="36">
                        <c:v>114501356.69449118</c:v>
                      </c:pt>
                      <c:pt idx="37">
                        <c:v>112712272.99613975</c:v>
                      </c:pt>
                      <c:pt idx="38">
                        <c:v>110923189.29778832</c:v>
                      </c:pt>
                      <c:pt idx="39">
                        <c:v>109134105.59943691</c:v>
                      </c:pt>
                      <c:pt idx="40">
                        <c:v>107345021.90108547</c:v>
                      </c:pt>
                      <c:pt idx="41">
                        <c:v>105555938.20273407</c:v>
                      </c:pt>
                      <c:pt idx="42">
                        <c:v>103766854.50438266</c:v>
                      </c:pt>
                      <c:pt idx="43">
                        <c:v>101977770.80603121</c:v>
                      </c:pt>
                      <c:pt idx="44">
                        <c:v>100188687.1076798</c:v>
                      </c:pt>
                      <c:pt idx="45">
                        <c:v>98399603.409328356</c:v>
                      </c:pt>
                      <c:pt idx="46">
                        <c:v>96610519.710976928</c:v>
                      </c:pt>
                      <c:pt idx="47">
                        <c:v>94821436.012625501</c:v>
                      </c:pt>
                      <c:pt idx="48">
                        <c:v>93032352.314274073</c:v>
                      </c:pt>
                      <c:pt idx="49">
                        <c:v>91243268.615922645</c:v>
                      </c:pt>
                      <c:pt idx="50">
                        <c:v>89454184.917571217</c:v>
                      </c:pt>
                      <c:pt idx="51">
                        <c:v>87665101.219219819</c:v>
                      </c:pt>
                      <c:pt idx="52">
                        <c:v>85876017.520868391</c:v>
                      </c:pt>
                      <c:pt idx="53">
                        <c:v>84086933.822516963</c:v>
                      </c:pt>
                      <c:pt idx="54">
                        <c:v>82297850.124165535</c:v>
                      </c:pt>
                      <c:pt idx="55">
                        <c:v>80508766.425814107</c:v>
                      </c:pt>
                      <c:pt idx="56">
                        <c:v>78719682.727462664</c:v>
                      </c:pt>
                      <c:pt idx="57">
                        <c:v>76930599.029111281</c:v>
                      </c:pt>
                      <c:pt idx="58">
                        <c:v>75141515.330759838</c:v>
                      </c:pt>
                      <c:pt idx="59">
                        <c:v>73352431.632408425</c:v>
                      </c:pt>
                      <c:pt idx="60">
                        <c:v>71563347.934056982</c:v>
                      </c:pt>
                      <c:pt idx="61">
                        <c:v>69774264.235705554</c:v>
                      </c:pt>
                      <c:pt idx="62">
                        <c:v>67985180.537354141</c:v>
                      </c:pt>
                      <c:pt idx="63">
                        <c:v>66196096.839002714</c:v>
                      </c:pt>
                      <c:pt idx="64">
                        <c:v>64407013.140651286</c:v>
                      </c:pt>
                      <c:pt idx="65">
                        <c:v>62617929.442299858</c:v>
                      </c:pt>
                      <c:pt idx="66">
                        <c:v>60828845.74394843</c:v>
                      </c:pt>
                      <c:pt idx="67">
                        <c:v>59039762.045597002</c:v>
                      </c:pt>
                      <c:pt idx="68">
                        <c:v>57250678.347245574</c:v>
                      </c:pt>
                      <c:pt idx="69">
                        <c:v>55461594.648894168</c:v>
                      </c:pt>
                      <c:pt idx="70">
                        <c:v>53672510.950542755</c:v>
                      </c:pt>
                      <c:pt idx="71">
                        <c:v>51883427.252191328</c:v>
                      </c:pt>
                      <c:pt idx="72">
                        <c:v>50094343.5538399</c:v>
                      </c:pt>
                      <c:pt idx="73">
                        <c:v>48305259.855488464</c:v>
                      </c:pt>
                      <c:pt idx="74">
                        <c:v>46516176.157137036</c:v>
                      </c:pt>
                      <c:pt idx="75">
                        <c:v>44727092.458785608</c:v>
                      </c:pt>
                      <c:pt idx="76">
                        <c:v>42938008.760434195</c:v>
                      </c:pt>
                      <c:pt idx="77">
                        <c:v>41148925.062082767</c:v>
                      </c:pt>
                      <c:pt idx="78">
                        <c:v>39359841.363731332</c:v>
                      </c:pt>
                      <c:pt idx="79">
                        <c:v>37570757.665379912</c:v>
                      </c:pt>
                      <c:pt idx="80">
                        <c:v>35781673.967028484</c:v>
                      </c:pt>
                      <c:pt idx="81">
                        <c:v>33992590.268677056</c:v>
                      </c:pt>
                      <c:pt idx="82">
                        <c:v>32203506.570325654</c:v>
                      </c:pt>
                      <c:pt idx="83">
                        <c:v>30414422.871974226</c:v>
                      </c:pt>
                      <c:pt idx="84">
                        <c:v>28625339.173622798</c:v>
                      </c:pt>
                      <c:pt idx="85">
                        <c:v>26836255.475271378</c:v>
                      </c:pt>
                      <c:pt idx="86">
                        <c:v>25047171.77691995</c:v>
                      </c:pt>
                      <c:pt idx="87">
                        <c:v>23258088.078568518</c:v>
                      </c:pt>
                      <c:pt idx="88">
                        <c:v>21469004.380217098</c:v>
                      </c:pt>
                      <c:pt idx="89">
                        <c:v>19679920.681865666</c:v>
                      </c:pt>
                      <c:pt idx="90">
                        <c:v>17890836.983514242</c:v>
                      </c:pt>
                      <c:pt idx="91">
                        <c:v>16101753.285162816</c:v>
                      </c:pt>
                      <c:pt idx="92">
                        <c:v>14312669.586811392</c:v>
                      </c:pt>
                      <c:pt idx="93">
                        <c:v>12523585.888459964</c:v>
                      </c:pt>
                      <c:pt idx="94">
                        <c:v>10734502.190108556</c:v>
                      </c:pt>
                      <c:pt idx="95">
                        <c:v>8945418.4917571303</c:v>
                      </c:pt>
                      <c:pt idx="96">
                        <c:v>7156334.7934057051</c:v>
                      </c:pt>
                      <c:pt idx="97">
                        <c:v>5367251.0950542782</c:v>
                      </c:pt>
                      <c:pt idx="98">
                        <c:v>3578167.3967028526</c:v>
                      </c:pt>
                      <c:pt idx="99">
                        <c:v>1789083.6983514263</c:v>
                      </c:pt>
                      <c:pt idx="100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35F1-4407-B714-670434925A74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Src!$F$6</c15:sqref>
                        </c15:formulaRef>
                      </c:ext>
                    </c:extLst>
                    <c:strCache>
                      <c:ptCount val="1"/>
                      <c:pt idx="0">
                        <c:v>600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Src!$E$8:$E$108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Src!$G$8:$G$108</c15:sqref>
                        </c15:formulaRef>
                      </c:ext>
                    </c:extLst>
                    <c:numCache>
                      <c:formatCode>0.00E+00</c:formatCode>
                      <c:ptCount val="101"/>
                      <c:pt idx="0">
                        <c:v>2701175389277.542</c:v>
                      </c:pt>
                      <c:pt idx="1">
                        <c:v>2674163635384.7671</c:v>
                      </c:pt>
                      <c:pt idx="2">
                        <c:v>2647151881491.9912</c:v>
                      </c:pt>
                      <c:pt idx="3">
                        <c:v>2620140127599.2158</c:v>
                      </c:pt>
                      <c:pt idx="4">
                        <c:v>2593128373706.4404</c:v>
                      </c:pt>
                      <c:pt idx="5">
                        <c:v>2566116619813.665</c:v>
                      </c:pt>
                      <c:pt idx="6">
                        <c:v>2539104865920.8892</c:v>
                      </c:pt>
                      <c:pt idx="7">
                        <c:v>2512093112028.1143</c:v>
                      </c:pt>
                      <c:pt idx="8">
                        <c:v>2485081358135.3384</c:v>
                      </c:pt>
                      <c:pt idx="9">
                        <c:v>2458069604242.5635</c:v>
                      </c:pt>
                      <c:pt idx="10">
                        <c:v>2431057850349.7881</c:v>
                      </c:pt>
                      <c:pt idx="11">
                        <c:v>2404046096457.0127</c:v>
                      </c:pt>
                      <c:pt idx="12">
                        <c:v>2377034342564.2373</c:v>
                      </c:pt>
                      <c:pt idx="13">
                        <c:v>2350022588671.4614</c:v>
                      </c:pt>
                      <c:pt idx="14">
                        <c:v>2323010834778.6865</c:v>
                      </c:pt>
                      <c:pt idx="15">
                        <c:v>2295999080885.9106</c:v>
                      </c:pt>
                      <c:pt idx="16">
                        <c:v>2268987326993.1353</c:v>
                      </c:pt>
                      <c:pt idx="17">
                        <c:v>2241975573100.3599</c:v>
                      </c:pt>
                      <c:pt idx="18">
                        <c:v>2214963819207.585</c:v>
                      </c:pt>
                      <c:pt idx="19">
                        <c:v>2187952065314.8093</c:v>
                      </c:pt>
                      <c:pt idx="20">
                        <c:v>2160940311422.0337</c:v>
                      </c:pt>
                      <c:pt idx="21">
                        <c:v>2133928557529.2581</c:v>
                      </c:pt>
                      <c:pt idx="22">
                        <c:v>2106916803636.4829</c:v>
                      </c:pt>
                      <c:pt idx="23">
                        <c:v>2079905049743.7075</c:v>
                      </c:pt>
                      <c:pt idx="24">
                        <c:v>2052893295850.9319</c:v>
                      </c:pt>
                      <c:pt idx="25">
                        <c:v>2025881541958.1565</c:v>
                      </c:pt>
                      <c:pt idx="26">
                        <c:v>1998869788065.3813</c:v>
                      </c:pt>
                      <c:pt idx="27">
                        <c:v>1971858034172.6057</c:v>
                      </c:pt>
                      <c:pt idx="28">
                        <c:v>1944846280279.8303</c:v>
                      </c:pt>
                      <c:pt idx="29">
                        <c:v>1917834526387.0547</c:v>
                      </c:pt>
                      <c:pt idx="30">
                        <c:v>1890822772494.2798</c:v>
                      </c:pt>
                      <c:pt idx="31">
                        <c:v>1863811018601.5037</c:v>
                      </c:pt>
                      <c:pt idx="32">
                        <c:v>1836799264708.7285</c:v>
                      </c:pt>
                      <c:pt idx="33">
                        <c:v>1809787510815.9531</c:v>
                      </c:pt>
                      <c:pt idx="34">
                        <c:v>1782775756923.1775</c:v>
                      </c:pt>
                      <c:pt idx="35">
                        <c:v>1755764003030.4021</c:v>
                      </c:pt>
                      <c:pt idx="36">
                        <c:v>1728752249137.627</c:v>
                      </c:pt>
                      <c:pt idx="37">
                        <c:v>1701740495244.8516</c:v>
                      </c:pt>
                      <c:pt idx="38">
                        <c:v>1674728741352.0762</c:v>
                      </c:pt>
                      <c:pt idx="39">
                        <c:v>1647716987459.3005</c:v>
                      </c:pt>
                      <c:pt idx="40">
                        <c:v>1620705233566.5254</c:v>
                      </c:pt>
                      <c:pt idx="41">
                        <c:v>1593693479673.75</c:v>
                      </c:pt>
                      <c:pt idx="42">
                        <c:v>1566681725780.9749</c:v>
                      </c:pt>
                      <c:pt idx="43">
                        <c:v>1539669971888.1992</c:v>
                      </c:pt>
                      <c:pt idx="44">
                        <c:v>1512658217995.4238</c:v>
                      </c:pt>
                      <c:pt idx="45">
                        <c:v>1485646464102.6482</c:v>
                      </c:pt>
                      <c:pt idx="46">
                        <c:v>1458634710209.8726</c:v>
                      </c:pt>
                      <c:pt idx="47">
                        <c:v>1431622956317.0974</c:v>
                      </c:pt>
                      <c:pt idx="48">
                        <c:v>1404611202424.3218</c:v>
                      </c:pt>
                      <c:pt idx="49">
                        <c:v>1377599448531.5466</c:v>
                      </c:pt>
                      <c:pt idx="50">
                        <c:v>1350587694638.771</c:v>
                      </c:pt>
                      <c:pt idx="51">
                        <c:v>1323575940745.9956</c:v>
                      </c:pt>
                      <c:pt idx="52">
                        <c:v>1296564186853.2202</c:v>
                      </c:pt>
                      <c:pt idx="53">
                        <c:v>1269552432960.4446</c:v>
                      </c:pt>
                      <c:pt idx="54">
                        <c:v>1242540679067.6692</c:v>
                      </c:pt>
                      <c:pt idx="55">
                        <c:v>1215528925174.894</c:v>
                      </c:pt>
                      <c:pt idx="56">
                        <c:v>1188517171282.1184</c:v>
                      </c:pt>
                      <c:pt idx="57">
                        <c:v>1161505417389.3433</c:v>
                      </c:pt>
                      <c:pt idx="58">
                        <c:v>1134493663496.5676</c:v>
                      </c:pt>
                      <c:pt idx="59">
                        <c:v>1107481909603.7925</c:v>
                      </c:pt>
                      <c:pt idx="60">
                        <c:v>1080470155711.0168</c:v>
                      </c:pt>
                      <c:pt idx="61">
                        <c:v>1053458401818.2415</c:v>
                      </c:pt>
                      <c:pt idx="62">
                        <c:v>1026446647925.4659</c:v>
                      </c:pt>
                      <c:pt idx="63">
                        <c:v>999434894032.69067</c:v>
                      </c:pt>
                      <c:pt idx="64">
                        <c:v>972423140139.91516</c:v>
                      </c:pt>
                      <c:pt idx="65">
                        <c:v>945411386247.13989</c:v>
                      </c:pt>
                      <c:pt idx="66">
                        <c:v>918399632354.36426</c:v>
                      </c:pt>
                      <c:pt idx="67">
                        <c:v>891387878461.58875</c:v>
                      </c:pt>
                      <c:pt idx="68">
                        <c:v>864376124568.81323</c:v>
                      </c:pt>
                      <c:pt idx="69">
                        <c:v>837364370676.03809</c:v>
                      </c:pt>
                      <c:pt idx="70">
                        <c:v>810352616783.26282</c:v>
                      </c:pt>
                      <c:pt idx="71">
                        <c:v>783340862890.48743</c:v>
                      </c:pt>
                      <c:pt idx="72">
                        <c:v>756329108997.71191</c:v>
                      </c:pt>
                      <c:pt idx="73">
                        <c:v>729317355104.93628</c:v>
                      </c:pt>
                      <c:pt idx="74">
                        <c:v>702305601212.16089</c:v>
                      </c:pt>
                      <c:pt idx="75">
                        <c:v>675293847319.3855</c:v>
                      </c:pt>
                      <c:pt idx="76">
                        <c:v>648282093426.61011</c:v>
                      </c:pt>
                      <c:pt idx="77">
                        <c:v>621270339533.83459</c:v>
                      </c:pt>
                      <c:pt idx="78">
                        <c:v>594258585641.0592</c:v>
                      </c:pt>
                      <c:pt idx="79">
                        <c:v>567246831748.28369</c:v>
                      </c:pt>
                      <c:pt idx="80">
                        <c:v>540235077855.50824</c:v>
                      </c:pt>
                      <c:pt idx="81">
                        <c:v>513223323962.73291</c:v>
                      </c:pt>
                      <c:pt idx="82">
                        <c:v>486211570069.9577</c:v>
                      </c:pt>
                      <c:pt idx="83">
                        <c:v>459199816177.18231</c:v>
                      </c:pt>
                      <c:pt idx="84">
                        <c:v>432188062284.4068</c:v>
                      </c:pt>
                      <c:pt idx="85">
                        <c:v>405176308391.63141</c:v>
                      </c:pt>
                      <c:pt idx="86">
                        <c:v>378164554498.85596</c:v>
                      </c:pt>
                      <c:pt idx="87">
                        <c:v>351152800606.08044</c:v>
                      </c:pt>
                      <c:pt idx="88">
                        <c:v>324141046713.30505</c:v>
                      </c:pt>
                      <c:pt idx="89">
                        <c:v>297129292820.5296</c:v>
                      </c:pt>
                      <c:pt idx="90">
                        <c:v>270117538927.75412</c:v>
                      </c:pt>
                      <c:pt idx="91">
                        <c:v>243105785034.9787</c:v>
                      </c:pt>
                      <c:pt idx="92">
                        <c:v>216094031142.20328</c:v>
                      </c:pt>
                      <c:pt idx="93">
                        <c:v>189082277249.42783</c:v>
                      </c:pt>
                      <c:pt idx="94">
                        <c:v>162070523356.65268</c:v>
                      </c:pt>
                      <c:pt idx="95">
                        <c:v>135058769463.87723</c:v>
                      </c:pt>
                      <c:pt idx="96">
                        <c:v>108047015571.10179</c:v>
                      </c:pt>
                      <c:pt idx="97">
                        <c:v>81035261678.32634</c:v>
                      </c:pt>
                      <c:pt idx="98">
                        <c:v>54023507785.550896</c:v>
                      </c:pt>
                      <c:pt idx="99">
                        <c:v>27011753892.775448</c:v>
                      </c:pt>
                      <c:pt idx="10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35F1-4407-B714-670434925A74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Src!$N$6</c15:sqref>
                        </c15:formulaRef>
                      </c:ext>
                    </c:extLst>
                    <c:strCache>
                      <c:ptCount val="1"/>
                      <c:pt idx="0">
                        <c:v>501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Src!$M$8:$M$108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Src!$O$8:$O$108</c15:sqref>
                        </c15:formulaRef>
                      </c:ext>
                    </c:extLst>
                    <c:numCache>
                      <c:formatCode>0.00E+00</c:formatCode>
                      <c:ptCount val="101"/>
                      <c:pt idx="0">
                        <c:v>40343888358.347626</c:v>
                      </c:pt>
                      <c:pt idx="1">
                        <c:v>39940449474.764153</c:v>
                      </c:pt>
                      <c:pt idx="2">
                        <c:v>39537010591.180679</c:v>
                      </c:pt>
                      <c:pt idx="3">
                        <c:v>39133571707.597198</c:v>
                      </c:pt>
                      <c:pt idx="4">
                        <c:v>38730132824.013725</c:v>
                      </c:pt>
                      <c:pt idx="5">
                        <c:v>38326693940.430244</c:v>
                      </c:pt>
                      <c:pt idx="6">
                        <c:v>37923255056.846771</c:v>
                      </c:pt>
                      <c:pt idx="7">
                        <c:v>37519816173.26329</c:v>
                      </c:pt>
                      <c:pt idx="8">
                        <c:v>37116377289.679817</c:v>
                      </c:pt>
                      <c:pt idx="9">
                        <c:v>36712938406.096344</c:v>
                      </c:pt>
                      <c:pt idx="10">
                        <c:v>36309499522.512863</c:v>
                      </c:pt>
                      <c:pt idx="11">
                        <c:v>35906060638.92939</c:v>
                      </c:pt>
                      <c:pt idx="12">
                        <c:v>35502621755.345909</c:v>
                      </c:pt>
                      <c:pt idx="13">
                        <c:v>35099182871.762436</c:v>
                      </c:pt>
                      <c:pt idx="14">
                        <c:v>34695743988.178955</c:v>
                      </c:pt>
                      <c:pt idx="15">
                        <c:v>34292305104.595486</c:v>
                      </c:pt>
                      <c:pt idx="16">
                        <c:v>33888866221.012005</c:v>
                      </c:pt>
                      <c:pt idx="17">
                        <c:v>33485427337.428532</c:v>
                      </c:pt>
                      <c:pt idx="18">
                        <c:v>33081988453.845062</c:v>
                      </c:pt>
                      <c:pt idx="19">
                        <c:v>32678549570.261578</c:v>
                      </c:pt>
                      <c:pt idx="20">
                        <c:v>32275110686.678101</c:v>
                      </c:pt>
                      <c:pt idx="21">
                        <c:v>31871671803.094627</c:v>
                      </c:pt>
                      <c:pt idx="22">
                        <c:v>31468232919.51115</c:v>
                      </c:pt>
                      <c:pt idx="23">
                        <c:v>31064794035.927673</c:v>
                      </c:pt>
                      <c:pt idx="24">
                        <c:v>30661355152.3442</c:v>
                      </c:pt>
                      <c:pt idx="25">
                        <c:v>30257916268.760723</c:v>
                      </c:pt>
                      <c:pt idx="26">
                        <c:v>29854477385.177246</c:v>
                      </c:pt>
                      <c:pt idx="27">
                        <c:v>29451038501.593769</c:v>
                      </c:pt>
                      <c:pt idx="28">
                        <c:v>29047599618.010292</c:v>
                      </c:pt>
                      <c:pt idx="29">
                        <c:v>28644160734.426815</c:v>
                      </c:pt>
                      <c:pt idx="30">
                        <c:v>28240721850.843342</c:v>
                      </c:pt>
                      <c:pt idx="31">
                        <c:v>27837282967.259865</c:v>
                      </c:pt>
                      <c:pt idx="32">
                        <c:v>27433844083.67638</c:v>
                      </c:pt>
                      <c:pt idx="33">
                        <c:v>27030405200.092903</c:v>
                      </c:pt>
                      <c:pt idx="34">
                        <c:v>26626966316.509426</c:v>
                      </c:pt>
                      <c:pt idx="35">
                        <c:v>26223527432.925961</c:v>
                      </c:pt>
                      <c:pt idx="36">
                        <c:v>25820088549.342484</c:v>
                      </c:pt>
                      <c:pt idx="37">
                        <c:v>25416649665.759007</c:v>
                      </c:pt>
                      <c:pt idx="38">
                        <c:v>25013210782.175533</c:v>
                      </c:pt>
                      <c:pt idx="39">
                        <c:v>24609771898.592056</c:v>
                      </c:pt>
                      <c:pt idx="40">
                        <c:v>24206333015.008579</c:v>
                      </c:pt>
                      <c:pt idx="41">
                        <c:v>23802894131.425106</c:v>
                      </c:pt>
                      <c:pt idx="42">
                        <c:v>23399455247.841629</c:v>
                      </c:pt>
                      <c:pt idx="43">
                        <c:v>22996016364.258152</c:v>
                      </c:pt>
                      <c:pt idx="44">
                        <c:v>22592577480.674675</c:v>
                      </c:pt>
                      <c:pt idx="45">
                        <c:v>22189138597.091198</c:v>
                      </c:pt>
                      <c:pt idx="46">
                        <c:v>21785699713.507721</c:v>
                      </c:pt>
                      <c:pt idx="47">
                        <c:v>21382260829.924244</c:v>
                      </c:pt>
                      <c:pt idx="48">
                        <c:v>20978821946.340767</c:v>
                      </c:pt>
                      <c:pt idx="49">
                        <c:v>20575383062.75729</c:v>
                      </c:pt>
                      <c:pt idx="50">
                        <c:v>20171944179.173813</c:v>
                      </c:pt>
                      <c:pt idx="51">
                        <c:v>19768505295.59034</c:v>
                      </c:pt>
                      <c:pt idx="52">
                        <c:v>19365066412.006863</c:v>
                      </c:pt>
                      <c:pt idx="53">
                        <c:v>18961627528.423386</c:v>
                      </c:pt>
                      <c:pt idx="54">
                        <c:v>18558188644.839909</c:v>
                      </c:pt>
                      <c:pt idx="55">
                        <c:v>18154749761.256432</c:v>
                      </c:pt>
                      <c:pt idx="56">
                        <c:v>17751310877.672955</c:v>
                      </c:pt>
                      <c:pt idx="57">
                        <c:v>17347871994.089485</c:v>
                      </c:pt>
                      <c:pt idx="58">
                        <c:v>16944433110.506008</c:v>
                      </c:pt>
                      <c:pt idx="59">
                        <c:v>16540994226.922531</c:v>
                      </c:pt>
                      <c:pt idx="60">
                        <c:v>16137555343.33905</c:v>
                      </c:pt>
                      <c:pt idx="61">
                        <c:v>15734116459.755575</c:v>
                      </c:pt>
                      <c:pt idx="62">
                        <c:v>15330677576.1721</c:v>
                      </c:pt>
                      <c:pt idx="63">
                        <c:v>14927238692.588623</c:v>
                      </c:pt>
                      <c:pt idx="64">
                        <c:v>14523799809.005146</c:v>
                      </c:pt>
                      <c:pt idx="65">
                        <c:v>14120360925.421671</c:v>
                      </c:pt>
                      <c:pt idx="66">
                        <c:v>13716922041.83819</c:v>
                      </c:pt>
                      <c:pt idx="67">
                        <c:v>13313483158.254713</c:v>
                      </c:pt>
                      <c:pt idx="68">
                        <c:v>12910044274.67124</c:v>
                      </c:pt>
                      <c:pt idx="69">
                        <c:v>12506605391.087767</c:v>
                      </c:pt>
                      <c:pt idx="70">
                        <c:v>12103166507.504292</c:v>
                      </c:pt>
                      <c:pt idx="71">
                        <c:v>11699727623.920815</c:v>
                      </c:pt>
                      <c:pt idx="72">
                        <c:v>11296288740.337337</c:v>
                      </c:pt>
                      <c:pt idx="73">
                        <c:v>10892849856.75386</c:v>
                      </c:pt>
                      <c:pt idx="74">
                        <c:v>10489410973.170383</c:v>
                      </c:pt>
                      <c:pt idx="75">
                        <c:v>10085972089.586906</c:v>
                      </c:pt>
                      <c:pt idx="76">
                        <c:v>9682533206.0034313</c:v>
                      </c:pt>
                      <c:pt idx="77">
                        <c:v>9279094322.4199543</c:v>
                      </c:pt>
                      <c:pt idx="78">
                        <c:v>8875655438.8364773</c:v>
                      </c:pt>
                      <c:pt idx="79">
                        <c:v>8472216555.2530012</c:v>
                      </c:pt>
                      <c:pt idx="80">
                        <c:v>8068777671.6695251</c:v>
                      </c:pt>
                      <c:pt idx="81">
                        <c:v>7665338788.0860472</c:v>
                      </c:pt>
                      <c:pt idx="82">
                        <c:v>7261899904.5025759</c:v>
                      </c:pt>
                      <c:pt idx="83">
                        <c:v>6858461020.9190979</c:v>
                      </c:pt>
                      <c:pt idx="84">
                        <c:v>6455022137.3356228</c:v>
                      </c:pt>
                      <c:pt idx="85">
                        <c:v>6051583253.7521458</c:v>
                      </c:pt>
                      <c:pt idx="86">
                        <c:v>5648144370.1686687</c:v>
                      </c:pt>
                      <c:pt idx="87">
                        <c:v>5244705486.5851917</c:v>
                      </c:pt>
                      <c:pt idx="88">
                        <c:v>4841266603.0017157</c:v>
                      </c:pt>
                      <c:pt idx="89">
                        <c:v>4437827719.4182386</c:v>
                      </c:pt>
                      <c:pt idx="90">
                        <c:v>4034388835.8347626</c:v>
                      </c:pt>
                      <c:pt idx="91">
                        <c:v>3630949952.2512856</c:v>
                      </c:pt>
                      <c:pt idx="92">
                        <c:v>3227511068.6678085</c:v>
                      </c:pt>
                      <c:pt idx="93">
                        <c:v>2824072185.084332</c:v>
                      </c:pt>
                      <c:pt idx="94">
                        <c:v>2420633301.5008597</c:v>
                      </c:pt>
                      <c:pt idx="95">
                        <c:v>2017194417.9173834</c:v>
                      </c:pt>
                      <c:pt idx="96">
                        <c:v>1613755534.3339067</c:v>
                      </c:pt>
                      <c:pt idx="97">
                        <c:v>1210316650.7504299</c:v>
                      </c:pt>
                      <c:pt idx="98">
                        <c:v>806877767.16695333</c:v>
                      </c:pt>
                      <c:pt idx="99">
                        <c:v>403438883.58347666</c:v>
                      </c:pt>
                      <c:pt idx="10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5F1-4407-B714-670434925A74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Src!$R$6</c15:sqref>
                        </c15:formulaRef>
                      </c:ext>
                    </c:extLst>
                    <c:strCache>
                      <c:ptCount val="1"/>
                      <c:pt idx="0">
                        <c:v>901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Src!$Q$8:$Q$108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Src!$S$8:$S$108</c15:sqref>
                        </c15:formulaRef>
                      </c:ext>
                    </c:extLst>
                    <c:numCache>
                      <c:formatCode>0.00E+00</c:formatCode>
                      <c:ptCount val="101"/>
                      <c:pt idx="0">
                        <c:v>6723863499276.4766</c:v>
                      </c:pt>
                      <c:pt idx="1">
                        <c:v>6656624864283.7119</c:v>
                      </c:pt>
                      <c:pt idx="2">
                        <c:v>6589386229290.9463</c:v>
                      </c:pt>
                      <c:pt idx="3">
                        <c:v>6522147594298.1826</c:v>
                      </c:pt>
                      <c:pt idx="4">
                        <c:v>6454908959305.418</c:v>
                      </c:pt>
                      <c:pt idx="5">
                        <c:v>6387670324312.6533</c:v>
                      </c:pt>
                      <c:pt idx="6">
                        <c:v>6320431689319.8877</c:v>
                      </c:pt>
                      <c:pt idx="7">
                        <c:v>6253193054327.123</c:v>
                      </c:pt>
                      <c:pt idx="8">
                        <c:v>6185954419334.3594</c:v>
                      </c:pt>
                      <c:pt idx="9">
                        <c:v>6118715784341.5938</c:v>
                      </c:pt>
                      <c:pt idx="10">
                        <c:v>6051477149348.8291</c:v>
                      </c:pt>
                      <c:pt idx="11">
                        <c:v>5984238514356.0645</c:v>
                      </c:pt>
                      <c:pt idx="12">
                        <c:v>5916999879363.2988</c:v>
                      </c:pt>
                      <c:pt idx="13">
                        <c:v>5849761244370.5352</c:v>
                      </c:pt>
                      <c:pt idx="14">
                        <c:v>5782522609377.7695</c:v>
                      </c:pt>
                      <c:pt idx="15">
                        <c:v>5715283974385.0049</c:v>
                      </c:pt>
                      <c:pt idx="16">
                        <c:v>5648045339392.2402</c:v>
                      </c:pt>
                      <c:pt idx="17">
                        <c:v>5580806704399.4756</c:v>
                      </c:pt>
                      <c:pt idx="18">
                        <c:v>5513568069406.7119</c:v>
                      </c:pt>
                      <c:pt idx="19">
                        <c:v>5446329434413.9463</c:v>
                      </c:pt>
                      <c:pt idx="20">
                        <c:v>5379090799421.1807</c:v>
                      </c:pt>
                      <c:pt idx="21">
                        <c:v>5311852164428.416</c:v>
                      </c:pt>
                      <c:pt idx="22">
                        <c:v>5244613529435.6523</c:v>
                      </c:pt>
                      <c:pt idx="23">
                        <c:v>5177374894442.8877</c:v>
                      </c:pt>
                      <c:pt idx="24">
                        <c:v>5110136259450.123</c:v>
                      </c:pt>
                      <c:pt idx="25">
                        <c:v>5042897624457.3574</c:v>
                      </c:pt>
                      <c:pt idx="26">
                        <c:v>4975658989464.5928</c:v>
                      </c:pt>
                      <c:pt idx="27">
                        <c:v>4908420354471.8281</c:v>
                      </c:pt>
                      <c:pt idx="28">
                        <c:v>4841181719479.0635</c:v>
                      </c:pt>
                      <c:pt idx="29">
                        <c:v>4773943084486.2988</c:v>
                      </c:pt>
                      <c:pt idx="30">
                        <c:v>4706704449493.5332</c:v>
                      </c:pt>
                      <c:pt idx="31">
                        <c:v>4639465814500.7686</c:v>
                      </c:pt>
                      <c:pt idx="32">
                        <c:v>4572227179508.0039</c:v>
                      </c:pt>
                      <c:pt idx="33">
                        <c:v>4504988544515.2383</c:v>
                      </c:pt>
                      <c:pt idx="34">
                        <c:v>4437749909522.4736</c:v>
                      </c:pt>
                      <c:pt idx="35">
                        <c:v>4370511274529.7095</c:v>
                      </c:pt>
                      <c:pt idx="36">
                        <c:v>4303272639536.9453</c:v>
                      </c:pt>
                      <c:pt idx="37">
                        <c:v>4236034004544.1802</c:v>
                      </c:pt>
                      <c:pt idx="38">
                        <c:v>4168795369551.4155</c:v>
                      </c:pt>
                      <c:pt idx="39">
                        <c:v>4101556734558.6504</c:v>
                      </c:pt>
                      <c:pt idx="40">
                        <c:v>4034318099565.8862</c:v>
                      </c:pt>
                      <c:pt idx="41">
                        <c:v>3967079464573.1221</c:v>
                      </c:pt>
                      <c:pt idx="42">
                        <c:v>3899840829580.3569</c:v>
                      </c:pt>
                      <c:pt idx="43">
                        <c:v>3832602194587.5928</c:v>
                      </c:pt>
                      <c:pt idx="44">
                        <c:v>3765363559594.8267</c:v>
                      </c:pt>
                      <c:pt idx="45">
                        <c:v>3698124924602.062</c:v>
                      </c:pt>
                      <c:pt idx="46">
                        <c:v>3630886289609.2974</c:v>
                      </c:pt>
                      <c:pt idx="47">
                        <c:v>3563647654616.5332</c:v>
                      </c:pt>
                      <c:pt idx="48">
                        <c:v>3496409019623.7681</c:v>
                      </c:pt>
                      <c:pt idx="49">
                        <c:v>3429170384631.0029</c:v>
                      </c:pt>
                      <c:pt idx="50">
                        <c:v>3361931749638.2383</c:v>
                      </c:pt>
                      <c:pt idx="51">
                        <c:v>3294693114645.4731</c:v>
                      </c:pt>
                      <c:pt idx="52">
                        <c:v>3227454479652.709</c:v>
                      </c:pt>
                      <c:pt idx="53">
                        <c:v>3160215844659.9438</c:v>
                      </c:pt>
                      <c:pt idx="54">
                        <c:v>3092977209667.1792</c:v>
                      </c:pt>
                      <c:pt idx="55">
                        <c:v>3025738574674.4141</c:v>
                      </c:pt>
                      <c:pt idx="56">
                        <c:v>2958499939681.6494</c:v>
                      </c:pt>
                      <c:pt idx="57">
                        <c:v>2891261304688.8853</c:v>
                      </c:pt>
                      <c:pt idx="58">
                        <c:v>2824022669696.1206</c:v>
                      </c:pt>
                      <c:pt idx="59">
                        <c:v>2756784034703.356</c:v>
                      </c:pt>
                      <c:pt idx="60">
                        <c:v>2689545399710.5903</c:v>
                      </c:pt>
                      <c:pt idx="61">
                        <c:v>2622306764717.8262</c:v>
                      </c:pt>
                      <c:pt idx="62">
                        <c:v>2555068129725.0615</c:v>
                      </c:pt>
                      <c:pt idx="63">
                        <c:v>2487829494732.2964</c:v>
                      </c:pt>
                      <c:pt idx="64">
                        <c:v>2420590859739.5317</c:v>
                      </c:pt>
                      <c:pt idx="65">
                        <c:v>2353352224746.7666</c:v>
                      </c:pt>
                      <c:pt idx="66">
                        <c:v>2286113589754.002</c:v>
                      </c:pt>
                      <c:pt idx="67">
                        <c:v>2218874954761.2368</c:v>
                      </c:pt>
                      <c:pt idx="68">
                        <c:v>2151636319768.4724</c:v>
                      </c:pt>
                      <c:pt idx="69">
                        <c:v>2084397684775.7085</c:v>
                      </c:pt>
                      <c:pt idx="70">
                        <c:v>2017159049782.9436</c:v>
                      </c:pt>
                      <c:pt idx="71">
                        <c:v>1949920414790.1785</c:v>
                      </c:pt>
                      <c:pt idx="72">
                        <c:v>1882681779797.4133</c:v>
                      </c:pt>
                      <c:pt idx="73">
                        <c:v>1815443144804.6487</c:v>
                      </c:pt>
                      <c:pt idx="74">
                        <c:v>1748204509811.884</c:v>
                      </c:pt>
                      <c:pt idx="75">
                        <c:v>1680965874819.1191</c:v>
                      </c:pt>
                      <c:pt idx="76">
                        <c:v>1613727239826.3545</c:v>
                      </c:pt>
                      <c:pt idx="77">
                        <c:v>1546488604833.5896</c:v>
                      </c:pt>
                      <c:pt idx="78">
                        <c:v>1479249969840.8247</c:v>
                      </c:pt>
                      <c:pt idx="79">
                        <c:v>1412011334848.0598</c:v>
                      </c:pt>
                      <c:pt idx="80">
                        <c:v>1344772699855.2952</c:v>
                      </c:pt>
                      <c:pt idx="81">
                        <c:v>1277534064862.53</c:v>
                      </c:pt>
                      <c:pt idx="82">
                        <c:v>1210295429869.7661</c:v>
                      </c:pt>
                      <c:pt idx="83">
                        <c:v>1143056794877.0012</c:v>
                      </c:pt>
                      <c:pt idx="84">
                        <c:v>1075818159884.2363</c:v>
                      </c:pt>
                      <c:pt idx="85">
                        <c:v>1008579524891.4718</c:v>
                      </c:pt>
                      <c:pt idx="86">
                        <c:v>941340889898.70667</c:v>
                      </c:pt>
                      <c:pt idx="87">
                        <c:v>874102254905.94202</c:v>
                      </c:pt>
                      <c:pt idx="88">
                        <c:v>806863619913.17725</c:v>
                      </c:pt>
                      <c:pt idx="89">
                        <c:v>739624984920.41235</c:v>
                      </c:pt>
                      <c:pt idx="90">
                        <c:v>672386349927.64758</c:v>
                      </c:pt>
                      <c:pt idx="91">
                        <c:v>605147714934.88269</c:v>
                      </c:pt>
                      <c:pt idx="92">
                        <c:v>537909079942.1178</c:v>
                      </c:pt>
                      <c:pt idx="93">
                        <c:v>470670444949.35303</c:v>
                      </c:pt>
                      <c:pt idx="94">
                        <c:v>403431809956.58899</c:v>
                      </c:pt>
                      <c:pt idx="95">
                        <c:v>336193174963.8241</c:v>
                      </c:pt>
                      <c:pt idx="96">
                        <c:v>268954539971.05936</c:v>
                      </c:pt>
                      <c:pt idx="97">
                        <c:v>201715904978.29449</c:v>
                      </c:pt>
                      <c:pt idx="98">
                        <c:v>134477269985.52968</c:v>
                      </c:pt>
                      <c:pt idx="99">
                        <c:v>67238634992.764839</c:v>
                      </c:pt>
                      <c:pt idx="10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5F1-4407-B714-670434925A74}"/>
                  </c:ext>
                </c:extLst>
              </c15:ser>
            </c15:filteredScatterSeries>
          </c:ext>
        </c:extLst>
      </c:scatterChart>
      <c:valAx>
        <c:axId val="50562220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621872"/>
        <c:crosses val="autoZero"/>
        <c:crossBetween val="midCat"/>
      </c:valAx>
      <c:valAx>
        <c:axId val="505621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q'''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6222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57150</xdr:colOff>
          <xdr:row>0</xdr:row>
          <xdr:rowOff>9525</xdr:rowOff>
        </xdr:from>
        <xdr:to>
          <xdr:col>21</xdr:col>
          <xdr:colOff>1038225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Ign/BR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400050</xdr:colOff>
          <xdr:row>0</xdr:row>
          <xdr:rowOff>28575</xdr:rowOff>
        </xdr:from>
        <xdr:to>
          <xdr:col>21</xdr:col>
          <xdr:colOff>495300</xdr:colOff>
          <xdr:row>1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Ign/BR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400050</xdr:colOff>
          <xdr:row>0</xdr:row>
          <xdr:rowOff>28575</xdr:rowOff>
        </xdr:from>
        <xdr:to>
          <xdr:col>21</xdr:col>
          <xdr:colOff>495300</xdr:colOff>
          <xdr:row>1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Ign/BR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114299</xdr:colOff>
      <xdr:row>1</xdr:row>
      <xdr:rowOff>67733</xdr:rowOff>
    </xdr:from>
    <xdr:to>
      <xdr:col>10</xdr:col>
      <xdr:colOff>389589</xdr:colOff>
      <xdr:row>19</xdr:row>
      <xdr:rowOff>137583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95251</xdr:colOff>
      <xdr:row>20</xdr:row>
      <xdr:rowOff>123295</xdr:rowOff>
    </xdr:from>
    <xdr:to>
      <xdr:col>10</xdr:col>
      <xdr:colOff>370541</xdr:colOff>
      <xdr:row>39</xdr:row>
      <xdr:rowOff>2645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23967</xdr:colOff>
      <xdr:row>22</xdr:row>
      <xdr:rowOff>43857</xdr:rowOff>
    </xdr:from>
    <xdr:to>
      <xdr:col>39</xdr:col>
      <xdr:colOff>600074</xdr:colOff>
      <xdr:row>38</xdr:row>
      <xdr:rowOff>124290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575421</xdr:colOff>
      <xdr:row>1</xdr:row>
      <xdr:rowOff>147574</xdr:rowOff>
    </xdr:from>
    <xdr:to>
      <xdr:col>20</xdr:col>
      <xdr:colOff>231586</xdr:colOff>
      <xdr:row>20</xdr:row>
      <xdr:rowOff>26924</xdr:rowOff>
    </xdr:to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575423</xdr:colOff>
      <xdr:row>20</xdr:row>
      <xdr:rowOff>141224</xdr:rowOff>
    </xdr:from>
    <xdr:to>
      <xdr:col>20</xdr:col>
      <xdr:colOff>231588</xdr:colOff>
      <xdr:row>39</xdr:row>
      <xdr:rowOff>20574</xdr:rowOff>
    </xdr:to>
    <xdr:graphicFrame macro="">
      <xdr:nvGraphicFramePr>
        <xdr:cNvPr id="6" name="Chart 4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588310</xdr:colOff>
      <xdr:row>1</xdr:row>
      <xdr:rowOff>182748</xdr:rowOff>
    </xdr:from>
    <xdr:to>
      <xdr:col>30</xdr:col>
      <xdr:colOff>244475</xdr:colOff>
      <xdr:row>20</xdr:row>
      <xdr:rowOff>62098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444313</xdr:colOff>
      <xdr:row>20</xdr:row>
      <xdr:rowOff>189100</xdr:rowOff>
    </xdr:from>
    <xdr:to>
      <xdr:col>30</xdr:col>
      <xdr:colOff>110003</xdr:colOff>
      <xdr:row>39</xdr:row>
      <xdr:rowOff>68450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30</xdr:col>
      <xdr:colOff>600076</xdr:colOff>
      <xdr:row>2</xdr:row>
      <xdr:rowOff>0</xdr:rowOff>
    </xdr:from>
    <xdr:to>
      <xdr:col>39</xdr:col>
      <xdr:colOff>523876</xdr:colOff>
      <xdr:row>20</xdr:row>
      <xdr:rowOff>90488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15</xdr:col>
      <xdr:colOff>204787</xdr:colOff>
      <xdr:row>58</xdr:row>
      <xdr:rowOff>47625</xdr:rowOff>
    </xdr:from>
    <xdr:to>
      <xdr:col>22</xdr:col>
      <xdr:colOff>434452</xdr:colOff>
      <xdr:row>75</xdr:row>
      <xdr:rowOff>53573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15</xdr:col>
      <xdr:colOff>240166</xdr:colOff>
      <xdr:row>75</xdr:row>
      <xdr:rowOff>30617</xdr:rowOff>
    </xdr:from>
    <xdr:to>
      <xdr:col>22</xdr:col>
      <xdr:colOff>519112</xdr:colOff>
      <xdr:row>92</xdr:row>
      <xdr:rowOff>42863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371475</xdr:colOff>
          <xdr:row>125</xdr:row>
          <xdr:rowOff>47625</xdr:rowOff>
        </xdr:from>
        <xdr:to>
          <xdr:col>13</xdr:col>
          <xdr:colOff>66675</xdr:colOff>
          <xdr:row>128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Get Wave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247650</xdr:colOff>
      <xdr:row>128</xdr:row>
      <xdr:rowOff>57150</xdr:rowOff>
    </xdr:from>
    <xdr:to>
      <xdr:col>10</xdr:col>
      <xdr:colOff>76200</xdr:colOff>
      <xdr:row>144</xdr:row>
      <xdr:rowOff>176213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533400</xdr:colOff>
          <xdr:row>125</xdr:row>
          <xdr:rowOff>0</xdr:rowOff>
        </xdr:from>
        <xdr:to>
          <xdr:col>42</xdr:col>
          <xdr:colOff>561975</xdr:colOff>
          <xdr:row>127</xdr:row>
          <xdr:rowOff>142875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5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Get Wave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381000</xdr:colOff>
          <xdr:row>125</xdr:row>
          <xdr:rowOff>19050</xdr:rowOff>
        </xdr:from>
        <xdr:to>
          <xdr:col>40</xdr:col>
          <xdr:colOff>142875</xdr:colOff>
          <xdr:row>127</xdr:row>
          <xdr:rowOff>9525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5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Ign/BR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342900</xdr:colOff>
          <xdr:row>125</xdr:row>
          <xdr:rowOff>142875</xdr:rowOff>
        </xdr:from>
        <xdr:to>
          <xdr:col>11</xdr:col>
          <xdr:colOff>104775</xdr:colOff>
          <xdr:row>127</xdr:row>
          <xdr:rowOff>133350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5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Ign/BR</a:t>
              </a:r>
            </a:p>
          </xdr:txBody>
        </xdr:sp>
        <xdr:clientData fPrintsWithSheet="0"/>
      </xdr:twoCellAnchor>
    </mc:Choice>
    <mc:Fallback/>
  </mc:AlternateContent>
  <xdr:twoCellAnchor>
    <xdr:from>
      <xdr:col>29</xdr:col>
      <xdr:colOff>200025</xdr:colOff>
      <xdr:row>129</xdr:row>
      <xdr:rowOff>171450</xdr:rowOff>
    </xdr:from>
    <xdr:to>
      <xdr:col>38</xdr:col>
      <xdr:colOff>28575</xdr:colOff>
      <xdr:row>146</xdr:row>
      <xdr:rowOff>100013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56</xdr:col>
      <xdr:colOff>108549</xdr:colOff>
      <xdr:row>65</xdr:row>
      <xdr:rowOff>24370</xdr:rowOff>
    </xdr:from>
    <xdr:to>
      <xdr:col>61</xdr:col>
      <xdr:colOff>534453</xdr:colOff>
      <xdr:row>78</xdr:row>
      <xdr:rowOff>558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56</xdr:col>
      <xdr:colOff>67728</xdr:colOff>
      <xdr:row>78</xdr:row>
      <xdr:rowOff>78798</xdr:rowOff>
    </xdr:from>
    <xdr:to>
      <xdr:col>61</xdr:col>
      <xdr:colOff>531732</xdr:colOff>
      <xdr:row>91</xdr:row>
      <xdr:rowOff>59747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47</xdr:col>
      <xdr:colOff>367393</xdr:colOff>
      <xdr:row>61</xdr:row>
      <xdr:rowOff>26532</xdr:rowOff>
    </xdr:from>
    <xdr:to>
      <xdr:col>54</xdr:col>
      <xdr:colOff>610517</xdr:colOff>
      <xdr:row>78</xdr:row>
      <xdr:rowOff>167611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47</xdr:col>
      <xdr:colOff>297996</xdr:colOff>
      <xdr:row>74</xdr:row>
      <xdr:rowOff>100011</xdr:rowOff>
    </xdr:from>
    <xdr:to>
      <xdr:col>54</xdr:col>
      <xdr:colOff>590550</xdr:colOff>
      <xdr:row>92</xdr:row>
      <xdr:rowOff>57150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14</xdr:col>
      <xdr:colOff>588819</xdr:colOff>
      <xdr:row>54</xdr:row>
      <xdr:rowOff>41996</xdr:rowOff>
    </xdr:from>
    <xdr:to>
      <xdr:col>22</xdr:col>
      <xdr:colOff>352856</xdr:colOff>
      <xdr:row>70</xdr:row>
      <xdr:rowOff>152933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22</xdr:col>
      <xdr:colOff>621725</xdr:colOff>
      <xdr:row>72</xdr:row>
      <xdr:rowOff>167864</xdr:rowOff>
    </xdr:from>
    <xdr:to>
      <xdr:col>30</xdr:col>
      <xdr:colOff>319088</xdr:colOff>
      <xdr:row>88</xdr:row>
      <xdr:rowOff>71438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56</xdr:col>
      <xdr:colOff>380938</xdr:colOff>
      <xdr:row>43</xdr:row>
      <xdr:rowOff>58881</xdr:rowOff>
    </xdr:from>
    <xdr:to>
      <xdr:col>62</xdr:col>
      <xdr:colOff>203426</xdr:colOff>
      <xdr:row>56</xdr:row>
      <xdr:rowOff>35069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57</xdr:col>
      <xdr:colOff>568718</xdr:colOff>
      <xdr:row>56</xdr:row>
      <xdr:rowOff>132359</xdr:rowOff>
    </xdr:from>
    <xdr:to>
      <xdr:col>63</xdr:col>
      <xdr:colOff>429305</xdr:colOff>
      <xdr:row>69</xdr:row>
      <xdr:rowOff>113308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39</xdr:col>
      <xdr:colOff>82322</xdr:colOff>
      <xdr:row>56</xdr:row>
      <xdr:rowOff>108856</xdr:rowOff>
    </xdr:from>
    <xdr:to>
      <xdr:col>46</xdr:col>
      <xdr:colOff>263627</xdr:colOff>
      <xdr:row>74</xdr:row>
      <xdr:rowOff>48569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39</xdr:col>
      <xdr:colOff>184378</xdr:colOff>
      <xdr:row>72</xdr:row>
      <xdr:rowOff>125185</xdr:rowOff>
    </xdr:from>
    <xdr:to>
      <xdr:col>46</xdr:col>
      <xdr:colOff>414337</xdr:colOff>
      <xdr:row>90</xdr:row>
      <xdr:rowOff>71437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15</xdr:col>
      <xdr:colOff>188457</xdr:colOff>
      <xdr:row>92</xdr:row>
      <xdr:rowOff>66675</xdr:rowOff>
    </xdr:from>
    <xdr:to>
      <xdr:col>22</xdr:col>
      <xdr:colOff>485774</xdr:colOff>
      <xdr:row>110</xdr:row>
      <xdr:rowOff>4763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15</xdr:col>
      <xdr:colOff>223836</xdr:colOff>
      <xdr:row>110</xdr:row>
      <xdr:rowOff>83005</xdr:rowOff>
    </xdr:from>
    <xdr:to>
      <xdr:col>22</xdr:col>
      <xdr:colOff>571175</xdr:colOff>
      <xdr:row>128</xdr:row>
      <xdr:rowOff>27629</xdr:rowOff>
    </xdr:to>
    <xdr:graphicFrame macro="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23</xdr:col>
      <xdr:colOff>95682</xdr:colOff>
      <xdr:row>88</xdr:row>
      <xdr:rowOff>185737</xdr:rowOff>
    </xdr:from>
    <xdr:to>
      <xdr:col>30</xdr:col>
      <xdr:colOff>381767</xdr:colOff>
      <xdr:row>104</xdr:row>
      <xdr:rowOff>87652</xdr:rowOff>
    </xdr:to>
    <xdr:graphicFrame macro="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22</xdr:col>
      <xdr:colOff>623887</xdr:colOff>
      <xdr:row>108</xdr:row>
      <xdr:rowOff>25855</xdr:rowOff>
    </xdr:from>
    <xdr:to>
      <xdr:col>30</xdr:col>
      <xdr:colOff>681037</xdr:colOff>
      <xdr:row>124</xdr:row>
      <xdr:rowOff>71438</xdr:rowOff>
    </xdr:to>
    <xdr:graphicFrame macro="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47</xdr:col>
      <xdr:colOff>326572</xdr:colOff>
      <xdr:row>93</xdr:row>
      <xdr:rowOff>28573</xdr:rowOff>
    </xdr:from>
    <xdr:to>
      <xdr:col>54</xdr:col>
      <xdr:colOff>685449</xdr:colOff>
      <xdr:row>110</xdr:row>
      <xdr:rowOff>53536</xdr:rowOff>
    </xdr:to>
    <xdr:graphicFrame macro="">
      <xdr:nvGraphicFramePr>
        <xdr:cNvPr id="48" name="Chart 47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47</xdr:col>
      <xdr:colOff>342899</xdr:colOff>
      <xdr:row>110</xdr:row>
      <xdr:rowOff>25852</xdr:rowOff>
    </xdr:from>
    <xdr:to>
      <xdr:col>55</xdr:col>
      <xdr:colOff>38099</xdr:colOff>
      <xdr:row>127</xdr:row>
      <xdr:rowOff>57150</xdr:rowOff>
    </xdr:to>
    <xdr:graphicFrame macro="">
      <xdr:nvGraphicFramePr>
        <xdr:cNvPr id="49" name="Chart 48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39</xdr:col>
      <xdr:colOff>196623</xdr:colOff>
      <xdr:row>91</xdr:row>
      <xdr:rowOff>4081</xdr:rowOff>
    </xdr:from>
    <xdr:to>
      <xdr:col>46</xdr:col>
      <xdr:colOff>338137</xdr:colOff>
      <xdr:row>107</xdr:row>
      <xdr:rowOff>128586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39</xdr:col>
      <xdr:colOff>117703</xdr:colOff>
      <xdr:row>108</xdr:row>
      <xdr:rowOff>1360</xdr:rowOff>
    </xdr:from>
    <xdr:to>
      <xdr:col>46</xdr:col>
      <xdr:colOff>307436</xdr:colOff>
      <xdr:row>124</xdr:row>
      <xdr:rowOff>132023</xdr:rowOff>
    </xdr:to>
    <xdr:graphicFrame macro="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64</xdr:col>
      <xdr:colOff>238125</xdr:colOff>
      <xdr:row>47</xdr:row>
      <xdr:rowOff>85725</xdr:rowOff>
    </xdr:from>
    <xdr:to>
      <xdr:col>70</xdr:col>
      <xdr:colOff>60613</xdr:colOff>
      <xdr:row>60</xdr:row>
      <xdr:rowOff>61913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72</xdr:col>
      <xdr:colOff>371475</xdr:colOff>
      <xdr:row>54</xdr:row>
      <xdr:rowOff>119062</xdr:rowOff>
    </xdr:from>
    <xdr:to>
      <xdr:col>81</xdr:col>
      <xdr:colOff>466725</xdr:colOff>
      <xdr:row>69</xdr:row>
      <xdr:rowOff>4762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76200</xdr:colOff>
      <xdr:row>9</xdr:row>
      <xdr:rowOff>76200</xdr:rowOff>
    </xdr:from>
    <xdr:to>
      <xdr:col>14</xdr:col>
      <xdr:colOff>381000</xdr:colOff>
      <xdr:row>23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40B2E-0903-4DA7-88C1-7EEDCE550D4A}">
  <sheetPr codeName="Sheet1"/>
  <dimension ref="A1:V211"/>
  <sheetViews>
    <sheetView workbookViewId="0">
      <pane xSplit="1" ySplit="2" topLeftCell="O3" activePane="bottomRight" state="frozen"/>
      <selection pane="topRight" activeCell="B1" sqref="B1"/>
      <selection pane="bottomLeft" activeCell="A3" sqref="A3"/>
      <selection pane="bottomRight" activeCell="V11" sqref="V11"/>
    </sheetView>
  </sheetViews>
  <sheetFormatPr defaultRowHeight="15" x14ac:dyDescent="0.25"/>
  <cols>
    <col min="1" max="1" width="24.5703125" bestFit="1" customWidth="1"/>
    <col min="2" max="2" width="12.5703125" customWidth="1"/>
    <col min="3" max="3" width="10.7109375" bestFit="1" customWidth="1"/>
    <col min="4" max="4" width="10.7109375" customWidth="1"/>
    <col min="5" max="5" width="10.28515625" bestFit="1" customWidth="1"/>
    <col min="8" max="8" width="14.85546875" bestFit="1" customWidth="1"/>
  </cols>
  <sheetData>
    <row r="1" spans="1:22" ht="18.75" x14ac:dyDescent="0.3">
      <c r="A1" s="20" t="s">
        <v>280</v>
      </c>
      <c r="B1" s="8" t="s">
        <v>43</v>
      </c>
      <c r="C1" s="8"/>
      <c r="D1" s="8"/>
      <c r="E1" s="3"/>
      <c r="F1" t="s">
        <v>7</v>
      </c>
      <c r="I1" t="s">
        <v>195</v>
      </c>
      <c r="J1" t="s">
        <v>196</v>
      </c>
      <c r="N1" s="8"/>
      <c r="O1" s="8"/>
      <c r="P1" s="3" t="s">
        <v>146</v>
      </c>
      <c r="Q1" t="s">
        <v>8</v>
      </c>
      <c r="S1" t="s">
        <v>193</v>
      </c>
    </row>
    <row r="2" spans="1:22" x14ac:dyDescent="0.25">
      <c r="A2" s="3" t="s">
        <v>0</v>
      </c>
      <c r="B2" s="8" t="s">
        <v>44</v>
      </c>
      <c r="C2" s="8" t="s">
        <v>324</v>
      </c>
      <c r="D2" s="8" t="s">
        <v>325</v>
      </c>
      <c r="E2" s="3" t="s">
        <v>46</v>
      </c>
      <c r="F2" s="8" t="s">
        <v>38</v>
      </c>
      <c r="G2" s="8" t="s">
        <v>39</v>
      </c>
      <c r="H2" t="s">
        <v>1</v>
      </c>
      <c r="I2" t="s">
        <v>2</v>
      </c>
      <c r="J2" t="s">
        <v>5</v>
      </c>
      <c r="K2" t="s">
        <v>241</v>
      </c>
      <c r="L2" t="s">
        <v>240</v>
      </c>
      <c r="M2" t="s">
        <v>323</v>
      </c>
      <c r="N2" t="s">
        <v>3</v>
      </c>
      <c r="O2" s="8" t="s">
        <v>4</v>
      </c>
      <c r="P2" s="3" t="s">
        <v>145</v>
      </c>
      <c r="Q2" s="4" t="s">
        <v>9</v>
      </c>
      <c r="R2" s="4" t="s">
        <v>10</v>
      </c>
      <c r="S2" s="4" t="s">
        <v>36</v>
      </c>
      <c r="T2" s="4" t="s">
        <v>122</v>
      </c>
      <c r="U2" s="4" t="s">
        <v>57</v>
      </c>
      <c r="V2" s="4" t="s">
        <v>21</v>
      </c>
    </row>
    <row r="3" spans="1:22" x14ac:dyDescent="0.25">
      <c r="A3" s="3" t="s">
        <v>285</v>
      </c>
      <c r="B3" s="8"/>
      <c r="C3" s="8"/>
      <c r="D3" s="8"/>
      <c r="E3" s="3"/>
      <c r="F3" s="8"/>
      <c r="G3" s="8"/>
      <c r="O3" s="8"/>
      <c r="P3" s="3"/>
      <c r="Q3" s="4"/>
      <c r="R3" s="4"/>
      <c r="S3" s="4"/>
      <c r="T3" s="4"/>
      <c r="U3" s="4"/>
      <c r="V3" s="4"/>
    </row>
    <row r="4" spans="1:22" x14ac:dyDescent="0.25">
      <c r="A4" s="17">
        <v>1</v>
      </c>
      <c r="B4" s="8">
        <v>5000</v>
      </c>
      <c r="C4" s="8">
        <v>800</v>
      </c>
      <c r="D4" s="8" t="s">
        <v>79</v>
      </c>
      <c r="E4" s="3">
        <v>70</v>
      </c>
      <c r="F4" s="4">
        <v>120</v>
      </c>
      <c r="G4" s="4">
        <v>120</v>
      </c>
      <c r="O4" s="8"/>
      <c r="P4" s="3"/>
      <c r="Q4" s="4"/>
      <c r="R4" s="4"/>
      <c r="V4" t="s">
        <v>275</v>
      </c>
    </row>
    <row r="5" spans="1:22" x14ac:dyDescent="0.25">
      <c r="A5" s="17">
        <v>2</v>
      </c>
      <c r="B5" s="8">
        <v>5000</v>
      </c>
      <c r="C5" s="8">
        <v>800</v>
      </c>
      <c r="D5" s="8" t="s">
        <v>79</v>
      </c>
      <c r="E5" s="3">
        <v>70</v>
      </c>
      <c r="F5" s="4">
        <v>120</v>
      </c>
      <c r="G5" s="4">
        <v>120</v>
      </c>
      <c r="O5" s="8"/>
      <c r="P5" s="3"/>
      <c r="V5" t="s">
        <v>276</v>
      </c>
    </row>
    <row r="6" spans="1:22" x14ac:dyDescent="0.25">
      <c r="A6" s="17">
        <v>3</v>
      </c>
      <c r="B6" s="8">
        <v>5000</v>
      </c>
      <c r="C6" s="8">
        <v>800</v>
      </c>
      <c r="D6" s="4" t="s">
        <v>79</v>
      </c>
      <c r="E6" s="3">
        <v>70</v>
      </c>
      <c r="F6" s="4">
        <v>120</v>
      </c>
      <c r="G6" s="4">
        <v>120</v>
      </c>
      <c r="O6" s="8"/>
      <c r="P6" s="3"/>
      <c r="V6" t="s">
        <v>277</v>
      </c>
    </row>
    <row r="7" spans="1:22" x14ac:dyDescent="0.25">
      <c r="A7" s="17">
        <v>4</v>
      </c>
      <c r="B7" s="8">
        <v>5109</v>
      </c>
      <c r="C7" s="8" t="s">
        <v>186</v>
      </c>
      <c r="D7" s="4" t="s">
        <v>79</v>
      </c>
      <c r="E7" s="3">
        <v>65</v>
      </c>
      <c r="F7" s="4">
        <v>300</v>
      </c>
      <c r="G7" s="4">
        <v>100</v>
      </c>
      <c r="H7" s="4">
        <v>400</v>
      </c>
      <c r="I7" s="4">
        <v>10</v>
      </c>
      <c r="J7" s="4">
        <v>15</v>
      </c>
      <c r="M7">
        <v>0.4</v>
      </c>
      <c r="N7">
        <v>48</v>
      </c>
      <c r="O7" s="9">
        <v>4890000</v>
      </c>
      <c r="P7" s="3">
        <v>2.78</v>
      </c>
      <c r="Q7" s="4">
        <v>0.13</v>
      </c>
      <c r="R7" s="4">
        <v>3.81</v>
      </c>
      <c r="U7" t="s">
        <v>279</v>
      </c>
      <c r="V7" t="s">
        <v>278</v>
      </c>
    </row>
    <row r="8" spans="1:22" x14ac:dyDescent="0.25">
      <c r="A8" s="17">
        <v>5</v>
      </c>
      <c r="B8" s="4">
        <v>5109</v>
      </c>
      <c r="C8" s="8" t="s">
        <v>186</v>
      </c>
      <c r="D8" s="4" t="s">
        <v>79</v>
      </c>
      <c r="E8" s="3">
        <v>65</v>
      </c>
      <c r="F8" s="4">
        <v>100</v>
      </c>
      <c r="G8" s="4">
        <v>300</v>
      </c>
      <c r="H8" s="4">
        <v>400</v>
      </c>
      <c r="I8" s="4">
        <v>10</v>
      </c>
      <c r="J8" s="4">
        <v>60</v>
      </c>
      <c r="M8">
        <v>0.4</v>
      </c>
      <c r="N8">
        <v>48</v>
      </c>
      <c r="O8" s="9">
        <v>4890000</v>
      </c>
      <c r="P8" s="3">
        <v>2.78</v>
      </c>
      <c r="Q8" s="4">
        <v>0.124</v>
      </c>
      <c r="R8" s="4">
        <v>3.97</v>
      </c>
      <c r="U8" t="s">
        <v>356</v>
      </c>
      <c r="V8" t="s">
        <v>357</v>
      </c>
    </row>
    <row r="9" spans="1:22" x14ac:dyDescent="0.25">
      <c r="A9" s="17"/>
      <c r="B9" s="8"/>
      <c r="C9" s="8"/>
      <c r="D9" s="4"/>
      <c r="E9" s="3"/>
      <c r="F9" s="4"/>
      <c r="G9" s="4"/>
      <c r="H9" s="4"/>
      <c r="I9" s="4"/>
      <c r="J9" s="4"/>
      <c r="O9" s="9"/>
      <c r="P9" s="3"/>
      <c r="Q9" s="4"/>
      <c r="R9" s="4"/>
    </row>
    <row r="10" spans="1:22" x14ac:dyDescent="0.25">
      <c r="A10" s="17" t="s">
        <v>290</v>
      </c>
      <c r="B10" s="8"/>
      <c r="C10" s="8"/>
      <c r="D10" s="8"/>
      <c r="E10" s="3"/>
      <c r="F10" s="8"/>
      <c r="G10" s="8"/>
      <c r="O10" s="8"/>
      <c r="P10" s="3"/>
    </row>
    <row r="11" spans="1:22" x14ac:dyDescent="0.25">
      <c r="A11" s="17" t="s">
        <v>291</v>
      </c>
      <c r="B11" s="8"/>
      <c r="C11" s="8"/>
      <c r="D11" s="8"/>
      <c r="E11" s="3"/>
      <c r="F11" s="8"/>
      <c r="G11" s="8"/>
      <c r="O11" s="8"/>
      <c r="P11" s="3"/>
      <c r="U11" t="s">
        <v>294</v>
      </c>
      <c r="V11" t="s">
        <v>276</v>
      </c>
    </row>
    <row r="12" spans="1:22" x14ac:dyDescent="0.25">
      <c r="A12" s="17" t="s">
        <v>292</v>
      </c>
      <c r="B12" s="8"/>
      <c r="C12" s="8"/>
      <c r="D12" s="8"/>
      <c r="E12" s="3"/>
      <c r="F12" s="8"/>
      <c r="G12" s="8"/>
      <c r="O12" s="8"/>
      <c r="P12" s="3"/>
      <c r="U12" t="s">
        <v>295</v>
      </c>
      <c r="V12" t="s">
        <v>276</v>
      </c>
    </row>
    <row r="13" spans="1:22" x14ac:dyDescent="0.25">
      <c r="A13" s="17" t="s">
        <v>293</v>
      </c>
      <c r="B13" s="8"/>
      <c r="C13" s="8"/>
      <c r="D13" s="8"/>
      <c r="E13" s="3"/>
      <c r="F13" s="8"/>
      <c r="G13" s="8"/>
      <c r="O13" s="8"/>
      <c r="P13" s="3"/>
      <c r="U13" t="s">
        <v>296</v>
      </c>
      <c r="V13" t="s">
        <v>276</v>
      </c>
    </row>
    <row r="14" spans="1:22" x14ac:dyDescent="0.25">
      <c r="A14" s="17" t="s">
        <v>297</v>
      </c>
      <c r="B14" s="8"/>
      <c r="C14" s="8"/>
      <c r="D14" s="8"/>
      <c r="E14" s="3"/>
      <c r="F14" s="8"/>
      <c r="G14" s="8"/>
      <c r="O14" s="8"/>
      <c r="P14" s="3"/>
      <c r="U14" s="27" t="s">
        <v>298</v>
      </c>
      <c r="V14" t="s">
        <v>276</v>
      </c>
    </row>
    <row r="15" spans="1:22" x14ac:dyDescent="0.25">
      <c r="A15" s="17" t="s">
        <v>299</v>
      </c>
      <c r="B15" s="8"/>
      <c r="C15" s="8"/>
      <c r="D15" s="8"/>
      <c r="E15" s="3"/>
      <c r="F15" s="8"/>
      <c r="G15" s="8"/>
      <c r="O15" s="8"/>
      <c r="P15" s="3"/>
      <c r="U15" t="s">
        <v>301</v>
      </c>
      <c r="V15" t="s">
        <v>276</v>
      </c>
    </row>
    <row r="16" spans="1:22" x14ac:dyDescent="0.25">
      <c r="A16" s="17"/>
      <c r="B16" s="8"/>
      <c r="C16" s="8"/>
      <c r="D16" s="8"/>
      <c r="E16" s="3"/>
      <c r="F16" s="8"/>
      <c r="G16" s="8"/>
      <c r="O16" s="8"/>
      <c r="P16" s="3"/>
    </row>
    <row r="17" spans="1:16" x14ac:dyDescent="0.25">
      <c r="A17" s="17"/>
      <c r="B17" s="8"/>
      <c r="C17" s="8"/>
      <c r="D17" s="8"/>
      <c r="E17" s="3"/>
      <c r="F17" s="8"/>
      <c r="G17" s="8"/>
      <c r="O17" s="8"/>
      <c r="P17" s="3"/>
    </row>
    <row r="18" spans="1:16" x14ac:dyDescent="0.25">
      <c r="A18" s="17"/>
      <c r="B18" s="8"/>
      <c r="C18" s="8"/>
      <c r="D18" s="8"/>
      <c r="E18" s="3"/>
      <c r="F18" s="8"/>
      <c r="G18" s="8"/>
      <c r="O18" s="8"/>
      <c r="P18" s="3"/>
    </row>
    <row r="19" spans="1:16" x14ac:dyDescent="0.25">
      <c r="A19" s="17"/>
      <c r="B19" s="8"/>
      <c r="C19" s="8"/>
      <c r="D19" s="8"/>
      <c r="E19" s="3"/>
      <c r="F19" s="8"/>
      <c r="G19" s="8"/>
      <c r="O19" s="8"/>
      <c r="P19" s="3"/>
    </row>
    <row r="20" spans="1:16" x14ac:dyDescent="0.25">
      <c r="A20" s="17"/>
      <c r="B20" s="8"/>
      <c r="C20" s="8"/>
      <c r="D20" s="8"/>
      <c r="E20" s="3"/>
      <c r="F20" s="8"/>
      <c r="G20" s="8"/>
      <c r="O20" s="8"/>
      <c r="P20" s="3"/>
    </row>
    <row r="21" spans="1:16" x14ac:dyDescent="0.25">
      <c r="A21" s="17"/>
      <c r="B21" s="8"/>
      <c r="C21" s="8"/>
      <c r="D21" s="8"/>
      <c r="E21" s="3"/>
      <c r="F21" s="8"/>
      <c r="G21" s="8"/>
      <c r="O21" s="8"/>
      <c r="P21" s="3"/>
    </row>
    <row r="22" spans="1:16" x14ac:dyDescent="0.25">
      <c r="A22" s="17"/>
      <c r="B22" s="8"/>
      <c r="C22" s="8"/>
      <c r="D22" s="8"/>
      <c r="E22" s="3"/>
      <c r="F22" s="8"/>
      <c r="G22" s="8"/>
      <c r="O22" s="8"/>
      <c r="P22" s="3"/>
    </row>
    <row r="23" spans="1:16" x14ac:dyDescent="0.25">
      <c r="A23" s="17"/>
      <c r="B23" s="8"/>
      <c r="C23" s="8"/>
      <c r="D23" s="8"/>
      <c r="E23" s="3"/>
      <c r="F23" s="8"/>
      <c r="G23" s="8"/>
      <c r="O23" s="8"/>
      <c r="P23" s="3"/>
    </row>
    <row r="24" spans="1:16" x14ac:dyDescent="0.25">
      <c r="A24" s="17"/>
      <c r="B24" s="8"/>
      <c r="C24" s="8"/>
      <c r="D24" s="8"/>
      <c r="E24" s="3"/>
      <c r="F24" s="8"/>
      <c r="G24" s="8"/>
      <c r="O24" s="8"/>
      <c r="P24" s="3"/>
    </row>
    <row r="25" spans="1:16" x14ac:dyDescent="0.25">
      <c r="A25" s="17"/>
      <c r="B25" s="8"/>
      <c r="C25" s="8"/>
      <c r="D25" s="8"/>
      <c r="E25" s="3"/>
      <c r="F25" s="8"/>
      <c r="G25" s="8"/>
      <c r="O25" s="8"/>
      <c r="P25" s="3"/>
    </row>
    <row r="26" spans="1:16" x14ac:dyDescent="0.25">
      <c r="A26" s="17"/>
      <c r="B26" s="8"/>
      <c r="C26" s="8"/>
      <c r="D26" s="8"/>
      <c r="E26" s="3"/>
      <c r="F26" s="8"/>
      <c r="G26" s="8"/>
      <c r="O26" s="8"/>
      <c r="P26" s="3"/>
    </row>
    <row r="27" spans="1:16" x14ac:dyDescent="0.25">
      <c r="A27" s="17"/>
      <c r="B27" s="8"/>
      <c r="C27" s="8"/>
      <c r="D27" s="8"/>
      <c r="E27" s="3"/>
      <c r="F27" s="8"/>
      <c r="G27" s="8"/>
      <c r="O27" s="8"/>
      <c r="P27" s="3"/>
    </row>
    <row r="28" spans="1:16" x14ac:dyDescent="0.25">
      <c r="A28" s="17"/>
      <c r="B28" s="8"/>
      <c r="C28" s="8"/>
      <c r="D28" s="8"/>
      <c r="E28" s="3"/>
      <c r="F28" s="8"/>
      <c r="G28" s="8"/>
      <c r="O28" s="8"/>
      <c r="P28" s="3"/>
    </row>
    <row r="29" spans="1:16" x14ac:dyDescent="0.25">
      <c r="A29" s="17"/>
      <c r="B29" s="8"/>
      <c r="C29" s="8"/>
      <c r="D29" s="8"/>
      <c r="E29" s="3"/>
      <c r="F29" s="8"/>
      <c r="G29" s="8"/>
      <c r="O29" s="8"/>
      <c r="P29" s="3"/>
    </row>
    <row r="30" spans="1:16" x14ac:dyDescent="0.25">
      <c r="A30" s="17"/>
      <c r="B30" s="8"/>
      <c r="C30" s="8"/>
      <c r="D30" s="8"/>
      <c r="E30" s="3"/>
      <c r="F30" s="8"/>
      <c r="G30" s="8"/>
      <c r="O30" s="8"/>
      <c r="P30" s="3"/>
    </row>
    <row r="31" spans="1:16" x14ac:dyDescent="0.25">
      <c r="A31" s="17"/>
      <c r="B31" s="8"/>
      <c r="C31" s="8"/>
      <c r="D31" s="8"/>
      <c r="E31" s="3"/>
      <c r="F31" s="8"/>
      <c r="G31" s="8"/>
      <c r="O31" s="8"/>
      <c r="P31" s="3"/>
    </row>
    <row r="32" spans="1:16" x14ac:dyDescent="0.25">
      <c r="A32" s="17"/>
      <c r="B32" s="8"/>
      <c r="C32" s="8"/>
      <c r="D32" s="8"/>
      <c r="E32" s="3"/>
      <c r="F32" s="8"/>
      <c r="G32" s="8"/>
      <c r="O32" s="8"/>
      <c r="P32" s="3"/>
    </row>
    <row r="33" spans="1:16" x14ac:dyDescent="0.25">
      <c r="A33" s="17"/>
      <c r="B33" s="8"/>
      <c r="C33" s="8"/>
      <c r="D33" s="8"/>
      <c r="E33" s="3"/>
      <c r="F33" s="8"/>
      <c r="G33" s="8"/>
      <c r="O33" s="8"/>
      <c r="P33" s="3"/>
    </row>
    <row r="34" spans="1:16" x14ac:dyDescent="0.25">
      <c r="A34" s="17"/>
      <c r="B34" s="8"/>
      <c r="C34" s="8"/>
      <c r="D34" s="8"/>
      <c r="E34" s="3"/>
      <c r="F34" s="8"/>
      <c r="G34" s="8"/>
      <c r="O34" s="8"/>
      <c r="P34" s="3"/>
    </row>
    <row r="35" spans="1:16" x14ac:dyDescent="0.25">
      <c r="A35" s="17"/>
      <c r="B35" s="8"/>
      <c r="C35" s="8"/>
      <c r="D35" s="8"/>
      <c r="E35" s="3"/>
      <c r="F35" s="8"/>
      <c r="G35" s="8"/>
      <c r="O35" s="8"/>
      <c r="P35" s="3"/>
    </row>
    <row r="36" spans="1:16" x14ac:dyDescent="0.25">
      <c r="A36" s="17"/>
      <c r="B36" s="8"/>
      <c r="C36" s="8"/>
      <c r="D36" s="8"/>
      <c r="E36" s="3"/>
      <c r="F36" s="8"/>
      <c r="G36" s="8"/>
      <c r="O36" s="8"/>
      <c r="P36" s="3"/>
    </row>
    <row r="37" spans="1:16" x14ac:dyDescent="0.25">
      <c r="A37" s="17"/>
      <c r="B37" s="8"/>
      <c r="C37" s="8"/>
      <c r="D37" s="8"/>
      <c r="E37" s="3"/>
      <c r="F37" s="8"/>
      <c r="G37" s="8"/>
      <c r="O37" s="8"/>
      <c r="P37" s="3"/>
    </row>
    <row r="38" spans="1:16" x14ac:dyDescent="0.25">
      <c r="A38" s="17"/>
      <c r="B38" s="8"/>
      <c r="C38" s="8"/>
      <c r="D38" s="8"/>
      <c r="E38" s="3"/>
      <c r="F38" s="8"/>
      <c r="G38" s="8"/>
      <c r="O38" s="8"/>
      <c r="P38" s="3"/>
    </row>
    <row r="39" spans="1:16" x14ac:dyDescent="0.25">
      <c r="A39" s="17"/>
      <c r="B39" s="8"/>
      <c r="C39" s="8"/>
      <c r="D39" s="8"/>
      <c r="E39" s="3"/>
      <c r="F39" s="8"/>
      <c r="G39" s="8"/>
      <c r="O39" s="8"/>
      <c r="P39" s="3"/>
    </row>
    <row r="40" spans="1:16" x14ac:dyDescent="0.25">
      <c r="A40" s="17"/>
      <c r="B40" s="8"/>
      <c r="C40" s="8"/>
      <c r="D40" s="8"/>
      <c r="E40" s="3"/>
      <c r="F40" s="8"/>
      <c r="G40" s="8"/>
      <c r="O40" s="8"/>
      <c r="P40" s="3"/>
    </row>
    <row r="41" spans="1:16" x14ac:dyDescent="0.25">
      <c r="A41" s="17"/>
      <c r="B41" s="8"/>
      <c r="C41" s="8"/>
      <c r="D41" s="8"/>
      <c r="E41" s="3"/>
      <c r="F41" s="8"/>
      <c r="G41" s="8"/>
      <c r="O41" s="8"/>
      <c r="P41" s="3"/>
    </row>
    <row r="42" spans="1:16" x14ac:dyDescent="0.25">
      <c r="A42" s="17"/>
      <c r="B42" s="8"/>
      <c r="C42" s="8"/>
      <c r="D42" s="8"/>
      <c r="E42" s="3"/>
      <c r="F42" s="8"/>
      <c r="G42" s="8"/>
      <c r="O42" s="8"/>
      <c r="P42" s="3"/>
    </row>
    <row r="43" spans="1:16" x14ac:dyDescent="0.25">
      <c r="A43" s="17"/>
      <c r="B43" s="8"/>
      <c r="C43" s="8"/>
      <c r="D43" s="8"/>
      <c r="E43" s="3"/>
      <c r="F43" s="8"/>
      <c r="G43" s="8"/>
      <c r="O43" s="8"/>
      <c r="P43" s="3"/>
    </row>
    <row r="44" spans="1:16" x14ac:dyDescent="0.25">
      <c r="A44" s="17"/>
      <c r="B44" s="8"/>
      <c r="C44" s="8"/>
      <c r="D44" s="8"/>
      <c r="E44" s="3"/>
      <c r="F44" s="8"/>
      <c r="G44" s="8"/>
      <c r="O44" s="8"/>
      <c r="P44" s="3"/>
    </row>
    <row r="45" spans="1:16" x14ac:dyDescent="0.25">
      <c r="A45" s="17"/>
      <c r="B45" s="8"/>
      <c r="C45" s="8"/>
      <c r="D45" s="8"/>
      <c r="E45" s="3"/>
      <c r="F45" s="8"/>
      <c r="G45" s="8"/>
      <c r="O45" s="8"/>
      <c r="P45" s="3"/>
    </row>
    <row r="46" spans="1:16" x14ac:dyDescent="0.25">
      <c r="A46" s="17"/>
      <c r="B46" s="8"/>
      <c r="C46" s="8"/>
      <c r="D46" s="8"/>
      <c r="E46" s="3"/>
      <c r="F46" s="8"/>
      <c r="G46" s="8"/>
      <c r="O46" s="8"/>
      <c r="P46" s="3"/>
    </row>
    <row r="47" spans="1:16" x14ac:dyDescent="0.25">
      <c r="A47" s="17"/>
      <c r="B47" s="8"/>
      <c r="C47" s="8"/>
      <c r="D47" s="8"/>
      <c r="E47" s="3"/>
      <c r="F47" s="8"/>
      <c r="G47" s="8"/>
      <c r="O47" s="8"/>
      <c r="P47" s="3"/>
    </row>
    <row r="48" spans="1:16" x14ac:dyDescent="0.25">
      <c r="A48" s="17"/>
      <c r="B48" s="8"/>
      <c r="C48" s="8"/>
      <c r="D48" s="8"/>
      <c r="E48" s="3"/>
      <c r="F48" s="8"/>
      <c r="G48" s="8"/>
      <c r="O48" s="8"/>
      <c r="P48" s="3"/>
    </row>
    <row r="49" spans="1:16" x14ac:dyDescent="0.25">
      <c r="A49" s="17"/>
      <c r="B49" s="8"/>
      <c r="C49" s="8"/>
      <c r="D49" s="8"/>
      <c r="E49" s="3"/>
      <c r="F49" s="8"/>
      <c r="G49" s="8"/>
      <c r="O49" s="8"/>
      <c r="P49" s="3"/>
    </row>
    <row r="50" spans="1:16" x14ac:dyDescent="0.25">
      <c r="A50" s="17"/>
      <c r="B50" s="8"/>
      <c r="C50" s="8"/>
      <c r="D50" s="8"/>
      <c r="E50" s="3"/>
      <c r="F50" s="8"/>
      <c r="G50" s="8"/>
      <c r="O50" s="8"/>
      <c r="P50" s="3"/>
    </row>
    <row r="51" spans="1:16" x14ac:dyDescent="0.25">
      <c r="A51" s="17"/>
      <c r="B51" s="8"/>
      <c r="C51" s="8"/>
      <c r="D51" s="8"/>
      <c r="E51" s="3"/>
      <c r="F51" s="8"/>
      <c r="G51" s="8"/>
      <c r="O51" s="8"/>
      <c r="P51" s="3"/>
    </row>
    <row r="52" spans="1:16" x14ac:dyDescent="0.25">
      <c r="A52" s="17"/>
      <c r="B52" s="8"/>
      <c r="C52" s="8"/>
      <c r="D52" s="8"/>
      <c r="E52" s="3"/>
      <c r="F52" s="8"/>
      <c r="G52" s="8"/>
      <c r="O52" s="8"/>
      <c r="P52" s="3"/>
    </row>
    <row r="53" spans="1:16" x14ac:dyDescent="0.25">
      <c r="A53" s="17"/>
      <c r="B53" s="8"/>
      <c r="C53" s="8"/>
      <c r="D53" s="8"/>
      <c r="E53" s="3"/>
      <c r="F53" s="8"/>
      <c r="G53" s="8"/>
      <c r="O53" s="8"/>
      <c r="P53" s="3"/>
    </row>
    <row r="54" spans="1:16" x14ac:dyDescent="0.25">
      <c r="A54" s="17"/>
      <c r="B54" s="8"/>
      <c r="C54" s="8"/>
      <c r="D54" s="8"/>
      <c r="E54" s="3"/>
      <c r="F54" s="8"/>
      <c r="G54" s="8"/>
      <c r="O54" s="8"/>
      <c r="P54" s="3"/>
    </row>
    <row r="55" spans="1:16" x14ac:dyDescent="0.25">
      <c r="A55" s="17"/>
      <c r="B55" s="8"/>
      <c r="C55" s="8"/>
      <c r="D55" s="8"/>
      <c r="E55" s="3"/>
      <c r="F55" s="8"/>
      <c r="G55" s="8"/>
      <c r="O55" s="8"/>
      <c r="P55" s="3"/>
    </row>
    <row r="56" spans="1:16" x14ac:dyDescent="0.25">
      <c r="A56" s="17"/>
      <c r="B56" s="8"/>
      <c r="C56" s="8"/>
      <c r="D56" s="8"/>
      <c r="E56" s="3"/>
      <c r="F56" s="8"/>
      <c r="G56" s="8"/>
      <c r="O56" s="8"/>
      <c r="P56" s="3"/>
    </row>
    <row r="57" spans="1:16" x14ac:dyDescent="0.25">
      <c r="A57" s="17"/>
      <c r="B57" s="8"/>
      <c r="C57" s="8"/>
      <c r="D57" s="8"/>
      <c r="E57" s="3"/>
      <c r="F57" s="8"/>
      <c r="G57" s="8"/>
      <c r="O57" s="8"/>
      <c r="P57" s="3"/>
    </row>
    <row r="58" spans="1:16" x14ac:dyDescent="0.25">
      <c r="A58" s="17"/>
      <c r="B58" s="8"/>
      <c r="C58" s="8"/>
      <c r="D58" s="8"/>
      <c r="E58" s="3"/>
      <c r="F58" s="8"/>
      <c r="G58" s="8"/>
      <c r="O58" s="8"/>
      <c r="P58" s="3"/>
    </row>
    <row r="59" spans="1:16" x14ac:dyDescent="0.25">
      <c r="A59" s="17"/>
      <c r="B59" s="8"/>
      <c r="C59" s="8"/>
      <c r="D59" s="8"/>
      <c r="E59" s="3"/>
      <c r="F59" s="8"/>
      <c r="G59" s="8"/>
      <c r="O59" s="8"/>
      <c r="P59" s="3"/>
    </row>
    <row r="60" spans="1:16" x14ac:dyDescent="0.25">
      <c r="A60" s="17"/>
      <c r="B60" s="8"/>
      <c r="C60" s="8"/>
      <c r="D60" s="8"/>
      <c r="E60" s="3"/>
      <c r="F60" s="8"/>
      <c r="G60" s="8"/>
      <c r="O60" s="8"/>
      <c r="P60" s="3"/>
    </row>
    <row r="61" spans="1:16" x14ac:dyDescent="0.25">
      <c r="A61" s="17"/>
      <c r="B61" s="8"/>
      <c r="C61" s="8"/>
      <c r="D61" s="8"/>
      <c r="E61" s="3"/>
      <c r="F61" s="8"/>
      <c r="G61" s="8"/>
      <c r="O61" s="8"/>
      <c r="P61" s="3"/>
    </row>
    <row r="62" spans="1:16" x14ac:dyDescent="0.25">
      <c r="A62" s="17"/>
      <c r="B62" s="8"/>
      <c r="C62" s="8"/>
      <c r="D62" s="8"/>
      <c r="E62" s="3"/>
      <c r="F62" s="8"/>
      <c r="G62" s="8"/>
      <c r="O62" s="8"/>
      <c r="P62" s="3"/>
    </row>
    <row r="63" spans="1:16" x14ac:dyDescent="0.25">
      <c r="A63" s="17"/>
      <c r="B63" s="8"/>
      <c r="C63" s="8"/>
      <c r="D63" s="8"/>
      <c r="E63" s="3"/>
      <c r="F63" s="8"/>
      <c r="G63" s="8"/>
      <c r="O63" s="8"/>
      <c r="P63" s="3"/>
    </row>
    <row r="64" spans="1:16" x14ac:dyDescent="0.25">
      <c r="A64" s="17"/>
      <c r="B64" s="8"/>
      <c r="C64" s="8"/>
      <c r="D64" s="8"/>
      <c r="E64" s="3"/>
      <c r="F64" s="8"/>
      <c r="G64" s="8"/>
      <c r="O64" s="8"/>
      <c r="P64" s="3"/>
    </row>
    <row r="65" spans="1:16" x14ac:dyDescent="0.25">
      <c r="A65" s="17"/>
      <c r="B65" s="8"/>
      <c r="C65" s="8"/>
      <c r="D65" s="8"/>
      <c r="E65" s="3"/>
      <c r="F65" s="8"/>
      <c r="G65" s="8"/>
      <c r="O65" s="8"/>
      <c r="P65" s="3"/>
    </row>
    <row r="66" spans="1:16" x14ac:dyDescent="0.25">
      <c r="A66" s="17"/>
      <c r="B66" s="8"/>
      <c r="C66" s="8"/>
      <c r="D66" s="8"/>
      <c r="E66" s="3"/>
      <c r="F66" s="8"/>
      <c r="G66" s="8"/>
      <c r="O66" s="8"/>
      <c r="P66" s="3"/>
    </row>
    <row r="67" spans="1:16" x14ac:dyDescent="0.25">
      <c r="A67" s="17"/>
      <c r="B67" s="8"/>
      <c r="C67" s="8"/>
      <c r="D67" s="8"/>
      <c r="E67" s="3"/>
      <c r="F67" s="8"/>
      <c r="G67" s="8"/>
      <c r="O67" s="8"/>
      <c r="P67" s="3"/>
    </row>
    <row r="68" spans="1:16" x14ac:dyDescent="0.25">
      <c r="A68" s="17"/>
      <c r="B68" s="8"/>
      <c r="C68" s="8"/>
      <c r="D68" s="8"/>
      <c r="E68" s="3"/>
      <c r="F68" s="8"/>
      <c r="G68" s="8"/>
      <c r="O68" s="8"/>
      <c r="P68" s="3"/>
    </row>
    <row r="69" spans="1:16" x14ac:dyDescent="0.25">
      <c r="A69" s="17"/>
      <c r="B69" s="8"/>
      <c r="C69" s="8"/>
      <c r="D69" s="8"/>
      <c r="E69" s="3"/>
      <c r="F69" s="8"/>
      <c r="G69" s="8"/>
      <c r="O69" s="8"/>
      <c r="P69" s="3"/>
    </row>
    <row r="70" spans="1:16" x14ac:dyDescent="0.25">
      <c r="A70" s="17"/>
      <c r="B70" s="8"/>
      <c r="C70" s="8"/>
      <c r="D70" s="8"/>
      <c r="E70" s="3"/>
      <c r="F70" s="8"/>
      <c r="G70" s="8"/>
      <c r="O70" s="8"/>
      <c r="P70" s="3"/>
    </row>
    <row r="71" spans="1:16" x14ac:dyDescent="0.25">
      <c r="A71" s="17"/>
      <c r="B71" s="8"/>
      <c r="C71" s="8"/>
      <c r="D71" s="8"/>
      <c r="E71" s="3"/>
      <c r="F71" s="8"/>
      <c r="G71" s="8"/>
      <c r="O71" s="8"/>
      <c r="P71" s="3"/>
    </row>
    <row r="72" spans="1:16" x14ac:dyDescent="0.25">
      <c r="A72" s="17"/>
      <c r="B72" s="8"/>
      <c r="C72" s="8"/>
      <c r="D72" s="8"/>
      <c r="E72" s="3"/>
      <c r="F72" s="8"/>
      <c r="G72" s="8"/>
      <c r="O72" s="8"/>
      <c r="P72" s="3"/>
    </row>
    <row r="73" spans="1:16" x14ac:dyDescent="0.25">
      <c r="A73" s="17"/>
      <c r="B73" s="8"/>
      <c r="C73" s="8"/>
      <c r="D73" s="8"/>
      <c r="E73" s="3"/>
      <c r="F73" s="8"/>
      <c r="G73" s="8"/>
      <c r="O73" s="8"/>
      <c r="P73" s="3"/>
    </row>
    <row r="74" spans="1:16" x14ac:dyDescent="0.25">
      <c r="A74" s="17"/>
      <c r="B74" s="8"/>
      <c r="C74" s="8"/>
      <c r="D74" s="8"/>
      <c r="E74" s="3"/>
      <c r="F74" s="8"/>
      <c r="G74" s="8"/>
      <c r="O74" s="8"/>
      <c r="P74" s="3"/>
    </row>
    <row r="75" spans="1:16" x14ac:dyDescent="0.25">
      <c r="A75" s="17"/>
      <c r="B75" s="8"/>
      <c r="C75" s="8"/>
      <c r="D75" s="8"/>
      <c r="E75" s="3"/>
      <c r="F75" s="8"/>
      <c r="G75" s="8"/>
      <c r="O75" s="8"/>
      <c r="P75" s="3"/>
    </row>
    <row r="76" spans="1:16" x14ac:dyDescent="0.25">
      <c r="A76" s="17"/>
      <c r="B76" s="8"/>
      <c r="C76" s="8"/>
      <c r="D76" s="8"/>
      <c r="E76" s="3"/>
      <c r="F76" s="8"/>
      <c r="G76" s="8"/>
      <c r="O76" s="8"/>
      <c r="P76" s="3"/>
    </row>
    <row r="77" spans="1:16" x14ac:dyDescent="0.25">
      <c r="A77" s="17"/>
      <c r="B77" s="8"/>
      <c r="C77" s="8"/>
      <c r="D77" s="8"/>
      <c r="E77" s="3"/>
      <c r="F77" s="8"/>
      <c r="G77" s="8"/>
      <c r="O77" s="8"/>
      <c r="P77" s="3"/>
    </row>
    <row r="78" spans="1:16" x14ac:dyDescent="0.25">
      <c r="A78" s="17"/>
      <c r="B78" s="8"/>
      <c r="C78" s="8"/>
      <c r="D78" s="8"/>
      <c r="E78" s="3"/>
      <c r="F78" s="8"/>
      <c r="G78" s="8"/>
      <c r="O78" s="8"/>
      <c r="P78" s="3"/>
    </row>
    <row r="79" spans="1:16" x14ac:dyDescent="0.25">
      <c r="A79" s="17"/>
      <c r="B79" s="8"/>
      <c r="C79" s="8"/>
      <c r="D79" s="8"/>
      <c r="E79" s="3"/>
      <c r="F79" s="8"/>
      <c r="G79" s="8"/>
      <c r="O79" s="8"/>
      <c r="P79" s="3"/>
    </row>
    <row r="80" spans="1:16" x14ac:dyDescent="0.25">
      <c r="A80" s="17"/>
      <c r="B80" s="8"/>
      <c r="C80" s="8"/>
      <c r="D80" s="8"/>
      <c r="E80" s="3"/>
      <c r="F80" s="8"/>
      <c r="G80" s="8"/>
      <c r="O80" s="8"/>
      <c r="P80" s="3"/>
    </row>
    <row r="81" spans="1:16" x14ac:dyDescent="0.25">
      <c r="A81" s="17"/>
      <c r="B81" s="8"/>
      <c r="C81" s="8"/>
      <c r="D81" s="8"/>
      <c r="E81" s="3"/>
      <c r="F81" s="8"/>
      <c r="G81" s="8"/>
      <c r="O81" s="8"/>
      <c r="P81" s="3"/>
    </row>
    <row r="82" spans="1:16" x14ac:dyDescent="0.25">
      <c r="A82" s="17"/>
      <c r="B82" s="8"/>
      <c r="C82" s="8"/>
      <c r="D82" s="8"/>
      <c r="E82" s="3"/>
      <c r="F82" s="8"/>
      <c r="G82" s="8"/>
      <c r="O82" s="8"/>
      <c r="P82" s="3"/>
    </row>
    <row r="83" spans="1:16" x14ac:dyDescent="0.25">
      <c r="A83" s="17"/>
      <c r="B83" s="8"/>
      <c r="C83" s="8"/>
      <c r="D83" s="8"/>
      <c r="E83" s="3"/>
      <c r="F83" s="8"/>
      <c r="G83" s="8"/>
      <c r="O83" s="8"/>
      <c r="P83" s="3"/>
    </row>
    <row r="84" spans="1:16" x14ac:dyDescent="0.25">
      <c r="A84" s="17"/>
      <c r="B84" s="8"/>
      <c r="C84" s="8"/>
      <c r="D84" s="8"/>
      <c r="E84" s="3"/>
      <c r="F84" s="8"/>
      <c r="G84" s="8"/>
      <c r="O84" s="8"/>
      <c r="P84" s="3"/>
    </row>
    <row r="85" spans="1:16" x14ac:dyDescent="0.25">
      <c r="A85" s="17"/>
      <c r="B85" s="8"/>
      <c r="C85" s="8"/>
      <c r="D85" s="8"/>
      <c r="E85" s="3"/>
      <c r="F85" s="8"/>
      <c r="G85" s="8"/>
      <c r="O85" s="8"/>
      <c r="P85" s="3"/>
    </row>
    <row r="86" spans="1:16" x14ac:dyDescent="0.25">
      <c r="A86" s="17"/>
      <c r="B86" s="8"/>
      <c r="C86" s="8"/>
      <c r="D86" s="8"/>
      <c r="E86" s="3"/>
      <c r="F86" s="8"/>
      <c r="G86" s="8"/>
      <c r="O86" s="8"/>
      <c r="P86" s="3"/>
    </row>
    <row r="87" spans="1:16" x14ac:dyDescent="0.25">
      <c r="A87" s="17"/>
      <c r="B87" s="8"/>
      <c r="C87" s="8"/>
      <c r="D87" s="8"/>
      <c r="E87" s="3"/>
      <c r="F87" s="8"/>
      <c r="G87" s="8"/>
      <c r="O87" s="8"/>
      <c r="P87" s="3"/>
    </row>
    <row r="88" spans="1:16" x14ac:dyDescent="0.25">
      <c r="A88" s="17"/>
      <c r="B88" s="8"/>
      <c r="C88" s="8"/>
      <c r="D88" s="8"/>
      <c r="E88" s="3"/>
      <c r="F88" s="8"/>
      <c r="G88" s="8"/>
      <c r="O88" s="8"/>
      <c r="P88" s="3"/>
    </row>
    <row r="89" spans="1:16" x14ac:dyDescent="0.25">
      <c r="A89" s="17"/>
      <c r="B89" s="8"/>
      <c r="C89" s="8"/>
      <c r="D89" s="8"/>
      <c r="E89" s="3"/>
      <c r="F89" s="8"/>
      <c r="G89" s="8"/>
      <c r="O89" s="8"/>
      <c r="P89" s="3"/>
    </row>
    <row r="90" spans="1:16" x14ac:dyDescent="0.25">
      <c r="A90" s="17"/>
      <c r="B90" s="8"/>
      <c r="C90" s="8"/>
      <c r="D90" s="8"/>
      <c r="E90" s="3"/>
      <c r="F90" s="8"/>
      <c r="G90" s="8"/>
      <c r="O90" s="8"/>
      <c r="P90" s="3"/>
    </row>
    <row r="91" spans="1:16" x14ac:dyDescent="0.25">
      <c r="A91" s="17"/>
      <c r="B91" s="8"/>
      <c r="C91" s="8"/>
      <c r="D91" s="8"/>
      <c r="E91" s="3"/>
      <c r="F91" s="8"/>
      <c r="G91" s="8"/>
      <c r="O91" s="8"/>
      <c r="P91" s="3"/>
    </row>
    <row r="92" spans="1:16" x14ac:dyDescent="0.25">
      <c r="A92" s="17"/>
      <c r="B92" s="8"/>
      <c r="C92" s="8"/>
      <c r="D92" s="8"/>
      <c r="E92" s="3"/>
      <c r="F92" s="8"/>
      <c r="G92" s="8"/>
      <c r="O92" s="8"/>
      <c r="P92" s="3"/>
    </row>
    <row r="93" spans="1:16" x14ac:dyDescent="0.25">
      <c r="A93" s="17"/>
      <c r="B93" s="8"/>
      <c r="C93" s="8"/>
      <c r="D93" s="8"/>
      <c r="E93" s="3"/>
      <c r="F93" s="8"/>
      <c r="G93" s="8"/>
      <c r="O93" s="8"/>
      <c r="P93" s="3"/>
    </row>
    <row r="94" spans="1:16" x14ac:dyDescent="0.25">
      <c r="A94" s="17"/>
      <c r="B94" s="8"/>
      <c r="C94" s="8"/>
      <c r="D94" s="8"/>
      <c r="E94" s="3"/>
      <c r="F94" s="8"/>
      <c r="G94" s="8"/>
      <c r="O94" s="8"/>
      <c r="P94" s="3"/>
    </row>
    <row r="95" spans="1:16" x14ac:dyDescent="0.25">
      <c r="A95" s="17"/>
      <c r="B95" s="8"/>
      <c r="C95" s="8"/>
      <c r="D95" s="8"/>
      <c r="E95" s="3"/>
      <c r="F95" s="8"/>
      <c r="G95" s="8"/>
      <c r="O95" s="8"/>
      <c r="P95" s="3"/>
    </row>
    <row r="96" spans="1:16" x14ac:dyDescent="0.25">
      <c r="A96" s="17"/>
      <c r="B96" s="8"/>
      <c r="C96" s="8"/>
      <c r="D96" s="8"/>
      <c r="E96" s="3"/>
      <c r="F96" s="8"/>
      <c r="G96" s="8"/>
      <c r="O96" s="8"/>
      <c r="P96" s="3"/>
    </row>
    <row r="97" spans="1:16" x14ac:dyDescent="0.25">
      <c r="A97" s="17"/>
      <c r="B97" s="8"/>
      <c r="C97" s="8"/>
      <c r="D97" s="8"/>
      <c r="E97" s="3"/>
      <c r="F97" s="8"/>
      <c r="G97" s="8"/>
      <c r="O97" s="8"/>
      <c r="P97" s="3"/>
    </row>
    <row r="98" spans="1:16" x14ac:dyDescent="0.25">
      <c r="A98" s="17"/>
      <c r="B98" s="8"/>
      <c r="C98" s="8"/>
      <c r="D98" s="8"/>
      <c r="E98" s="3"/>
      <c r="F98" s="8"/>
      <c r="G98" s="8"/>
      <c r="O98" s="8"/>
      <c r="P98" s="3"/>
    </row>
    <row r="99" spans="1:16" x14ac:dyDescent="0.25">
      <c r="A99" s="17"/>
      <c r="B99" s="8"/>
      <c r="C99" s="8"/>
      <c r="D99" s="8"/>
      <c r="E99" s="3"/>
      <c r="F99" s="8"/>
      <c r="G99" s="8"/>
      <c r="O99" s="8"/>
      <c r="P99" s="3"/>
    </row>
    <row r="100" spans="1:16" x14ac:dyDescent="0.25">
      <c r="A100" s="17"/>
      <c r="B100" s="8"/>
      <c r="C100" s="8"/>
      <c r="D100" s="8"/>
      <c r="E100" s="3"/>
      <c r="F100" s="8"/>
      <c r="G100" s="8"/>
      <c r="O100" s="8"/>
      <c r="P100" s="3"/>
    </row>
    <row r="101" spans="1:16" x14ac:dyDescent="0.25">
      <c r="A101" s="17"/>
      <c r="B101" s="8"/>
      <c r="C101" s="8"/>
      <c r="D101" s="8"/>
      <c r="E101" s="3"/>
      <c r="F101" s="8"/>
      <c r="G101" s="8"/>
      <c r="O101" s="8"/>
      <c r="P101" s="3"/>
    </row>
    <row r="102" spans="1:16" x14ac:dyDescent="0.25">
      <c r="A102" s="17"/>
      <c r="B102" s="8"/>
      <c r="C102" s="8"/>
      <c r="D102" s="8"/>
      <c r="E102" s="3"/>
      <c r="F102" s="8"/>
      <c r="G102" s="8"/>
      <c r="O102" s="8"/>
      <c r="P102" s="3"/>
    </row>
    <row r="103" spans="1:16" x14ac:dyDescent="0.25">
      <c r="A103" s="17"/>
      <c r="B103" s="8"/>
      <c r="C103" s="8"/>
      <c r="D103" s="8"/>
      <c r="E103" s="3"/>
      <c r="F103" s="8"/>
      <c r="G103" s="8"/>
      <c r="O103" s="8"/>
      <c r="P103" s="3"/>
    </row>
    <row r="104" spans="1:16" x14ac:dyDescent="0.25">
      <c r="A104" s="17"/>
      <c r="B104" s="8"/>
      <c r="C104" s="8"/>
      <c r="D104" s="8"/>
      <c r="E104" s="3"/>
      <c r="F104" s="8"/>
      <c r="G104" s="8"/>
      <c r="O104" s="8"/>
      <c r="P104" s="3"/>
    </row>
    <row r="105" spans="1:16" x14ac:dyDescent="0.25">
      <c r="A105" s="17"/>
      <c r="B105" s="8"/>
      <c r="C105" s="8"/>
      <c r="D105" s="8"/>
      <c r="E105" s="3"/>
      <c r="F105" s="8"/>
      <c r="G105" s="8"/>
      <c r="O105" s="8"/>
      <c r="P105" s="3"/>
    </row>
    <row r="106" spans="1:16" x14ac:dyDescent="0.25">
      <c r="A106" s="17"/>
      <c r="B106" s="8"/>
      <c r="C106" s="8"/>
      <c r="D106" s="8"/>
      <c r="E106" s="3"/>
      <c r="F106" s="8"/>
      <c r="G106" s="8"/>
      <c r="O106" s="8"/>
      <c r="P106" s="3"/>
    </row>
    <row r="107" spans="1:16" x14ac:dyDescent="0.25">
      <c r="A107" s="17"/>
      <c r="B107" s="8"/>
      <c r="C107" s="8"/>
      <c r="D107" s="8"/>
      <c r="E107" s="3"/>
      <c r="F107" s="8"/>
      <c r="G107" s="8"/>
      <c r="O107" s="8"/>
      <c r="P107" s="3"/>
    </row>
    <row r="108" spans="1:16" x14ac:dyDescent="0.25">
      <c r="A108" s="17"/>
      <c r="B108" s="8"/>
      <c r="C108" s="8"/>
      <c r="D108" s="8"/>
      <c r="E108" s="3"/>
      <c r="F108" s="8"/>
      <c r="G108" s="8"/>
      <c r="O108" s="8"/>
      <c r="P108" s="3"/>
    </row>
    <row r="109" spans="1:16" x14ac:dyDescent="0.25">
      <c r="A109" s="17"/>
      <c r="B109" s="8"/>
      <c r="C109" s="8"/>
      <c r="D109" s="8"/>
      <c r="E109" s="3"/>
      <c r="F109" s="8"/>
      <c r="G109" s="8"/>
      <c r="O109" s="8"/>
      <c r="P109" s="3"/>
    </row>
    <row r="110" spans="1:16" x14ac:dyDescent="0.25">
      <c r="A110" s="17"/>
      <c r="B110" s="8"/>
      <c r="C110" s="8"/>
      <c r="D110" s="8"/>
      <c r="E110" s="3"/>
      <c r="F110" s="8"/>
      <c r="G110" s="8"/>
      <c r="O110" s="8"/>
      <c r="P110" s="3"/>
    </row>
    <row r="111" spans="1:16" x14ac:dyDescent="0.25">
      <c r="A111" s="17"/>
      <c r="B111" s="8"/>
      <c r="C111" s="8"/>
      <c r="D111" s="8"/>
      <c r="E111" s="3"/>
      <c r="F111" s="8"/>
      <c r="G111" s="8"/>
      <c r="O111" s="8"/>
      <c r="P111" s="3"/>
    </row>
    <row r="112" spans="1:16" x14ac:dyDescent="0.25">
      <c r="A112" s="17"/>
      <c r="B112" s="8"/>
      <c r="C112" s="8"/>
      <c r="D112" s="8"/>
      <c r="E112" s="3"/>
      <c r="F112" s="8"/>
      <c r="G112" s="8"/>
      <c r="O112" s="8"/>
      <c r="P112" s="3"/>
    </row>
    <row r="113" spans="1:16" x14ac:dyDescent="0.25">
      <c r="A113" s="17"/>
      <c r="B113" s="8"/>
      <c r="C113" s="8"/>
      <c r="D113" s="8"/>
      <c r="E113" s="3"/>
      <c r="F113" s="8"/>
      <c r="G113" s="8"/>
      <c r="O113" s="8"/>
      <c r="P113" s="3"/>
    </row>
    <row r="114" spans="1:16" x14ac:dyDescent="0.25">
      <c r="A114" s="17"/>
      <c r="B114" s="8"/>
      <c r="C114" s="8"/>
      <c r="D114" s="8"/>
      <c r="E114" s="3"/>
      <c r="F114" s="8"/>
      <c r="G114" s="8"/>
      <c r="O114" s="8"/>
      <c r="P114" s="3"/>
    </row>
    <row r="115" spans="1:16" x14ac:dyDescent="0.25">
      <c r="A115" s="17"/>
      <c r="B115" s="8"/>
      <c r="C115" s="8"/>
      <c r="D115" s="8"/>
      <c r="E115" s="3"/>
      <c r="F115" s="8"/>
      <c r="G115" s="8"/>
      <c r="O115" s="8"/>
      <c r="P115" s="3"/>
    </row>
    <row r="116" spans="1:16" x14ac:dyDescent="0.25">
      <c r="A116" s="17"/>
      <c r="B116" s="8"/>
      <c r="C116" s="8"/>
      <c r="D116" s="8"/>
      <c r="E116" s="3"/>
      <c r="F116" s="8"/>
      <c r="G116" s="8"/>
      <c r="O116" s="8"/>
      <c r="P116" s="3"/>
    </row>
    <row r="117" spans="1:16" x14ac:dyDescent="0.25">
      <c r="A117" s="17"/>
      <c r="B117" s="8"/>
      <c r="C117" s="8"/>
      <c r="D117" s="8"/>
      <c r="E117" s="3"/>
      <c r="F117" s="8"/>
      <c r="G117" s="8"/>
      <c r="O117" s="8"/>
      <c r="P117" s="3"/>
    </row>
    <row r="118" spans="1:16" x14ac:dyDescent="0.25">
      <c r="A118" s="17"/>
      <c r="B118" s="8"/>
      <c r="C118" s="8"/>
      <c r="D118" s="8"/>
      <c r="E118" s="3"/>
      <c r="F118" s="8"/>
      <c r="G118" s="8"/>
      <c r="O118" s="8"/>
      <c r="P118" s="3"/>
    </row>
    <row r="119" spans="1:16" x14ac:dyDescent="0.25">
      <c r="A119" s="17"/>
      <c r="B119" s="8"/>
      <c r="C119" s="8"/>
      <c r="D119" s="8"/>
      <c r="E119" s="3"/>
      <c r="F119" s="8"/>
      <c r="G119" s="8"/>
      <c r="O119" s="8"/>
      <c r="P119" s="3"/>
    </row>
    <row r="120" spans="1:16" x14ac:dyDescent="0.25">
      <c r="A120" s="17"/>
      <c r="B120" s="8"/>
      <c r="C120" s="8"/>
      <c r="D120" s="8"/>
      <c r="E120" s="3"/>
      <c r="F120" s="8"/>
      <c r="G120" s="8"/>
      <c r="O120" s="8"/>
      <c r="P120" s="3"/>
    </row>
    <row r="121" spans="1:16" x14ac:dyDescent="0.25">
      <c r="A121" s="17"/>
      <c r="B121" s="8"/>
      <c r="C121" s="8"/>
      <c r="D121" s="8"/>
      <c r="E121" s="3"/>
      <c r="F121" s="8"/>
      <c r="G121" s="8"/>
      <c r="O121" s="8"/>
      <c r="P121" s="3"/>
    </row>
    <row r="122" spans="1:16" x14ac:dyDescent="0.25">
      <c r="A122" s="17"/>
      <c r="B122" s="8"/>
      <c r="C122" s="8"/>
      <c r="D122" s="8"/>
      <c r="E122" s="3"/>
      <c r="F122" s="8"/>
      <c r="G122" s="8"/>
      <c r="O122" s="8"/>
      <c r="P122" s="3"/>
    </row>
    <row r="123" spans="1:16" x14ac:dyDescent="0.25">
      <c r="A123" s="17"/>
      <c r="B123" s="8"/>
      <c r="C123" s="8"/>
      <c r="D123" s="8"/>
      <c r="E123" s="3"/>
      <c r="F123" s="8"/>
      <c r="G123" s="8"/>
      <c r="O123" s="8"/>
      <c r="P123" s="3"/>
    </row>
    <row r="124" spans="1:16" x14ac:dyDescent="0.25">
      <c r="A124" s="17"/>
      <c r="B124" s="8"/>
      <c r="C124" s="8"/>
      <c r="D124" s="8"/>
      <c r="E124" s="3"/>
      <c r="F124" s="8"/>
      <c r="G124" s="8"/>
      <c r="O124" s="8"/>
      <c r="P124" s="3"/>
    </row>
    <row r="125" spans="1:16" x14ac:dyDescent="0.25">
      <c r="A125" s="17"/>
      <c r="B125" s="8"/>
      <c r="C125" s="8"/>
      <c r="D125" s="8"/>
      <c r="E125" s="3"/>
      <c r="F125" s="8"/>
      <c r="G125" s="8"/>
      <c r="O125" s="8"/>
      <c r="P125" s="3"/>
    </row>
    <row r="126" spans="1:16" x14ac:dyDescent="0.25">
      <c r="A126" s="17"/>
      <c r="B126" s="8"/>
      <c r="C126" s="8"/>
      <c r="D126" s="8"/>
      <c r="E126" s="3"/>
      <c r="F126" s="8"/>
      <c r="G126" s="8"/>
      <c r="O126" s="8"/>
      <c r="P126" s="3"/>
    </row>
    <row r="127" spans="1:16" x14ac:dyDescent="0.25">
      <c r="A127" s="17"/>
      <c r="B127" s="8"/>
      <c r="C127" s="8"/>
      <c r="D127" s="8"/>
      <c r="E127" s="3"/>
      <c r="F127" s="8"/>
      <c r="G127" s="8"/>
      <c r="O127" s="8"/>
      <c r="P127" s="3"/>
    </row>
    <row r="128" spans="1:16" x14ac:dyDescent="0.25">
      <c r="A128" s="17"/>
      <c r="B128" s="8"/>
      <c r="C128" s="8"/>
      <c r="D128" s="8"/>
      <c r="E128" s="3"/>
      <c r="F128" s="8"/>
      <c r="G128" s="8"/>
      <c r="O128" s="8"/>
      <c r="P128" s="3"/>
    </row>
    <row r="129" spans="1:16" x14ac:dyDescent="0.25">
      <c r="A129" s="17"/>
      <c r="B129" s="8"/>
      <c r="C129" s="8"/>
      <c r="D129" s="8"/>
      <c r="E129" s="3"/>
      <c r="F129" s="8"/>
      <c r="G129" s="8"/>
      <c r="O129" s="8"/>
      <c r="P129" s="3"/>
    </row>
    <row r="130" spans="1:16" x14ac:dyDescent="0.25">
      <c r="A130" s="17"/>
      <c r="B130" s="8"/>
      <c r="C130" s="8"/>
      <c r="D130" s="8"/>
      <c r="E130" s="3"/>
      <c r="F130" s="8"/>
      <c r="G130" s="8"/>
      <c r="O130" s="8"/>
      <c r="P130" s="3"/>
    </row>
    <row r="131" spans="1:16" x14ac:dyDescent="0.25">
      <c r="A131" s="17"/>
      <c r="B131" s="8"/>
      <c r="C131" s="8"/>
      <c r="D131" s="8"/>
      <c r="E131" s="3"/>
      <c r="F131" s="8"/>
      <c r="G131" s="8"/>
      <c r="O131" s="8"/>
      <c r="P131" s="3"/>
    </row>
    <row r="132" spans="1:16" x14ac:dyDescent="0.25">
      <c r="A132" s="17"/>
      <c r="B132" s="8"/>
      <c r="C132" s="8"/>
      <c r="D132" s="8"/>
      <c r="E132" s="3"/>
      <c r="F132" s="8"/>
      <c r="G132" s="8"/>
      <c r="O132" s="8"/>
      <c r="P132" s="3"/>
    </row>
    <row r="133" spans="1:16" x14ac:dyDescent="0.25">
      <c r="A133" s="17"/>
      <c r="B133" s="8"/>
      <c r="C133" s="8"/>
      <c r="D133" s="8"/>
      <c r="E133" s="3"/>
      <c r="F133" s="8"/>
      <c r="G133" s="8"/>
      <c r="O133" s="8"/>
      <c r="P133" s="3"/>
    </row>
    <row r="134" spans="1:16" x14ac:dyDescent="0.25">
      <c r="A134" s="17"/>
      <c r="B134" s="8"/>
      <c r="C134" s="8"/>
      <c r="D134" s="8"/>
      <c r="E134" s="3"/>
      <c r="F134" s="8"/>
      <c r="G134" s="8"/>
      <c r="O134" s="8"/>
      <c r="P134" s="3"/>
    </row>
    <row r="135" spans="1:16" x14ac:dyDescent="0.25">
      <c r="A135" s="17"/>
      <c r="B135" s="8"/>
      <c r="C135" s="8"/>
      <c r="D135" s="8"/>
      <c r="E135" s="3"/>
      <c r="F135" s="8"/>
      <c r="G135" s="8"/>
      <c r="O135" s="8"/>
      <c r="P135" s="3"/>
    </row>
    <row r="136" spans="1:16" x14ac:dyDescent="0.25">
      <c r="A136" s="17"/>
      <c r="B136" s="8"/>
      <c r="C136" s="8"/>
      <c r="D136" s="8"/>
      <c r="E136" s="3"/>
      <c r="F136" s="8"/>
      <c r="G136" s="8"/>
      <c r="O136" s="8"/>
      <c r="P136" s="3"/>
    </row>
    <row r="137" spans="1:16" x14ac:dyDescent="0.25">
      <c r="A137" s="17"/>
      <c r="B137" s="8"/>
      <c r="C137" s="8"/>
      <c r="D137" s="8"/>
      <c r="E137" s="3"/>
      <c r="F137" s="8"/>
      <c r="G137" s="8"/>
      <c r="O137" s="8"/>
      <c r="P137" s="3"/>
    </row>
    <row r="138" spans="1:16" x14ac:dyDescent="0.25">
      <c r="A138" s="17"/>
      <c r="B138" s="8"/>
      <c r="C138" s="8"/>
      <c r="D138" s="8"/>
      <c r="E138" s="3"/>
      <c r="F138" s="8"/>
      <c r="G138" s="8"/>
      <c r="O138" s="8"/>
      <c r="P138" s="3"/>
    </row>
    <row r="139" spans="1:16" x14ac:dyDescent="0.25">
      <c r="A139" s="17"/>
      <c r="B139" s="8"/>
      <c r="C139" s="8"/>
      <c r="D139" s="8"/>
      <c r="E139" s="3"/>
      <c r="F139" s="8"/>
      <c r="G139" s="8"/>
      <c r="O139" s="8"/>
      <c r="P139" s="3"/>
    </row>
    <row r="140" spans="1:16" x14ac:dyDescent="0.25">
      <c r="A140" s="17"/>
      <c r="B140" s="8"/>
      <c r="C140" s="8"/>
      <c r="D140" s="8"/>
      <c r="E140" s="3"/>
      <c r="F140" s="8"/>
      <c r="G140" s="8"/>
      <c r="O140" s="8"/>
      <c r="P140" s="3"/>
    </row>
    <row r="141" spans="1:16" x14ac:dyDescent="0.25">
      <c r="A141" s="17"/>
      <c r="B141" s="8"/>
      <c r="C141" s="8"/>
      <c r="D141" s="8"/>
      <c r="E141" s="3"/>
      <c r="F141" s="8"/>
      <c r="G141" s="8"/>
      <c r="O141" s="8"/>
      <c r="P141" s="3"/>
    </row>
    <row r="142" spans="1:16" x14ac:dyDescent="0.25">
      <c r="A142" s="17"/>
      <c r="B142" s="8"/>
      <c r="C142" s="8"/>
      <c r="D142" s="8"/>
      <c r="E142" s="3"/>
      <c r="F142" s="8"/>
      <c r="G142" s="8"/>
      <c r="O142" s="8"/>
      <c r="P142" s="3"/>
    </row>
    <row r="143" spans="1:16" x14ac:dyDescent="0.25">
      <c r="A143" s="17"/>
      <c r="B143" s="8"/>
      <c r="C143" s="8"/>
      <c r="D143" s="8"/>
      <c r="E143" s="3"/>
      <c r="F143" s="8"/>
      <c r="G143" s="8"/>
      <c r="O143" s="8"/>
      <c r="P143" s="3"/>
    </row>
    <row r="144" spans="1:16" x14ac:dyDescent="0.25">
      <c r="A144" s="17"/>
      <c r="B144" s="8"/>
      <c r="C144" s="8"/>
      <c r="D144" s="8"/>
      <c r="E144" s="3"/>
      <c r="F144" s="8"/>
      <c r="G144" s="8"/>
      <c r="O144" s="8"/>
      <c r="P144" s="3"/>
    </row>
    <row r="145" spans="1:16" x14ac:dyDescent="0.25">
      <c r="A145" s="17"/>
      <c r="B145" s="8"/>
      <c r="C145" s="8"/>
      <c r="D145" s="8"/>
      <c r="E145" s="3"/>
      <c r="F145" s="8"/>
      <c r="G145" s="8"/>
      <c r="O145" s="8"/>
      <c r="P145" s="3"/>
    </row>
    <row r="146" spans="1:16" x14ac:dyDescent="0.25">
      <c r="A146" s="17"/>
      <c r="B146" s="8"/>
      <c r="C146" s="8"/>
      <c r="D146" s="8"/>
      <c r="E146" s="3"/>
      <c r="F146" s="8"/>
      <c r="G146" s="8"/>
      <c r="O146" s="8"/>
      <c r="P146" s="3"/>
    </row>
    <row r="147" spans="1:16" x14ac:dyDescent="0.25">
      <c r="A147" s="17"/>
      <c r="B147" s="8"/>
      <c r="C147" s="8"/>
      <c r="D147" s="8"/>
      <c r="E147" s="3"/>
      <c r="F147" s="8"/>
      <c r="G147" s="8"/>
      <c r="O147" s="8"/>
      <c r="P147" s="3"/>
    </row>
    <row r="148" spans="1:16" x14ac:dyDescent="0.25">
      <c r="A148" s="17"/>
      <c r="B148" s="8"/>
      <c r="C148" s="8"/>
      <c r="D148" s="8"/>
      <c r="E148" s="3"/>
      <c r="F148" s="8"/>
      <c r="G148" s="8"/>
      <c r="O148" s="8"/>
      <c r="P148" s="3"/>
    </row>
    <row r="149" spans="1:16" x14ac:dyDescent="0.25">
      <c r="A149" s="17"/>
      <c r="B149" s="8"/>
      <c r="C149" s="8"/>
      <c r="D149" s="8"/>
      <c r="E149" s="3"/>
      <c r="F149" s="8"/>
      <c r="G149" s="8"/>
      <c r="O149" s="8"/>
      <c r="P149" s="3"/>
    </row>
    <row r="150" spans="1:16" x14ac:dyDescent="0.25">
      <c r="A150" s="17"/>
      <c r="B150" s="8"/>
      <c r="C150" s="8"/>
      <c r="D150" s="8"/>
      <c r="E150" s="3"/>
      <c r="F150" s="8"/>
      <c r="G150" s="8"/>
      <c r="O150" s="8"/>
      <c r="P150" s="3"/>
    </row>
    <row r="151" spans="1:16" x14ac:dyDescent="0.25">
      <c r="A151" s="17"/>
      <c r="B151" s="8"/>
      <c r="C151" s="8"/>
      <c r="D151" s="8"/>
      <c r="E151" s="3"/>
      <c r="F151" s="8"/>
      <c r="G151" s="8"/>
      <c r="O151" s="8"/>
      <c r="P151" s="3"/>
    </row>
    <row r="152" spans="1:16" x14ac:dyDescent="0.25">
      <c r="A152" s="17"/>
      <c r="B152" s="8"/>
      <c r="C152" s="8"/>
      <c r="D152" s="8"/>
      <c r="E152" s="3"/>
      <c r="F152" s="8"/>
      <c r="G152" s="8"/>
      <c r="O152" s="8"/>
      <c r="P152" s="3"/>
    </row>
    <row r="153" spans="1:16" x14ac:dyDescent="0.25">
      <c r="A153" s="17"/>
      <c r="B153" s="8"/>
      <c r="C153" s="8"/>
      <c r="D153" s="8"/>
      <c r="E153" s="3"/>
      <c r="F153" s="8"/>
      <c r="G153" s="8"/>
      <c r="O153" s="8"/>
      <c r="P153" s="3"/>
    </row>
    <row r="154" spans="1:16" x14ac:dyDescent="0.25">
      <c r="A154" s="17"/>
      <c r="B154" s="8"/>
      <c r="C154" s="8"/>
      <c r="D154" s="8"/>
      <c r="E154" s="3"/>
      <c r="F154" s="8"/>
      <c r="G154" s="8"/>
      <c r="O154" s="8"/>
      <c r="P154" s="3"/>
    </row>
    <row r="155" spans="1:16" x14ac:dyDescent="0.25">
      <c r="A155" s="17"/>
      <c r="B155" s="8"/>
      <c r="C155" s="8"/>
      <c r="D155" s="8"/>
      <c r="E155" s="3"/>
      <c r="F155" s="8"/>
      <c r="G155" s="8"/>
      <c r="O155" s="8"/>
      <c r="P155" s="3"/>
    </row>
    <row r="156" spans="1:16" x14ac:dyDescent="0.25">
      <c r="A156" s="17"/>
      <c r="B156" s="8"/>
      <c r="C156" s="8"/>
      <c r="D156" s="8"/>
      <c r="E156" s="3"/>
      <c r="F156" s="8"/>
      <c r="G156" s="8"/>
      <c r="O156" s="8"/>
      <c r="P156" s="3"/>
    </row>
    <row r="157" spans="1:16" x14ac:dyDescent="0.25">
      <c r="A157" s="17"/>
      <c r="B157" s="8"/>
      <c r="C157" s="8"/>
      <c r="D157" s="8"/>
      <c r="E157" s="3"/>
      <c r="F157" s="8"/>
      <c r="G157" s="8"/>
      <c r="O157" s="8"/>
      <c r="P157" s="3"/>
    </row>
    <row r="158" spans="1:16" x14ac:dyDescent="0.25">
      <c r="A158" s="17"/>
      <c r="B158" s="8"/>
      <c r="C158" s="8"/>
      <c r="D158" s="8"/>
      <c r="E158" s="3"/>
      <c r="F158" s="8"/>
      <c r="G158" s="8"/>
      <c r="O158" s="8"/>
      <c r="P158" s="3"/>
    </row>
    <row r="159" spans="1:16" x14ac:dyDescent="0.25">
      <c r="A159" s="17"/>
      <c r="B159" s="8"/>
      <c r="C159" s="8"/>
      <c r="D159" s="8"/>
      <c r="E159" s="3"/>
      <c r="F159" s="8"/>
      <c r="G159" s="8"/>
      <c r="O159" s="8"/>
      <c r="P159" s="3"/>
    </row>
    <row r="160" spans="1:16" x14ac:dyDescent="0.25">
      <c r="A160" s="17"/>
      <c r="B160" s="8"/>
      <c r="C160" s="8"/>
      <c r="D160" s="8"/>
      <c r="E160" s="3"/>
      <c r="F160" s="8"/>
      <c r="G160" s="8"/>
      <c r="O160" s="8"/>
      <c r="P160" s="3"/>
    </row>
    <row r="161" spans="1:16" x14ac:dyDescent="0.25">
      <c r="A161" s="17"/>
      <c r="B161" s="8"/>
      <c r="C161" s="8"/>
      <c r="D161" s="8"/>
      <c r="E161" s="3"/>
      <c r="F161" s="8"/>
      <c r="G161" s="8"/>
      <c r="O161" s="8"/>
      <c r="P161" s="3"/>
    </row>
    <row r="162" spans="1:16" x14ac:dyDescent="0.25">
      <c r="A162" s="17"/>
      <c r="B162" s="8"/>
      <c r="C162" s="8"/>
      <c r="D162" s="8"/>
      <c r="E162" s="3"/>
      <c r="F162" s="8"/>
      <c r="G162" s="8"/>
      <c r="O162" s="8"/>
      <c r="P162" s="3"/>
    </row>
    <row r="163" spans="1:16" x14ac:dyDescent="0.25">
      <c r="A163" s="17"/>
      <c r="B163" s="8"/>
      <c r="C163" s="8"/>
      <c r="D163" s="8"/>
      <c r="E163" s="3"/>
      <c r="F163" s="8"/>
      <c r="G163" s="8"/>
      <c r="O163" s="8"/>
      <c r="P163" s="3"/>
    </row>
    <row r="164" spans="1:16" x14ac:dyDescent="0.25">
      <c r="A164" s="17"/>
      <c r="B164" s="8"/>
      <c r="C164" s="8"/>
      <c r="D164" s="8"/>
      <c r="E164" s="3"/>
      <c r="F164" s="8"/>
      <c r="G164" s="8"/>
      <c r="O164" s="8"/>
      <c r="P164" s="3"/>
    </row>
    <row r="165" spans="1:16" x14ac:dyDescent="0.25">
      <c r="A165" s="17"/>
      <c r="B165" s="8"/>
      <c r="C165" s="8"/>
      <c r="D165" s="8"/>
      <c r="E165" s="3"/>
      <c r="F165" s="8"/>
      <c r="G165" s="8"/>
      <c r="O165" s="8"/>
      <c r="P165" s="3"/>
    </row>
    <row r="166" spans="1:16" x14ac:dyDescent="0.25">
      <c r="A166" s="17"/>
      <c r="B166" s="8"/>
      <c r="C166" s="8"/>
      <c r="D166" s="8"/>
      <c r="E166" s="3"/>
      <c r="F166" s="8"/>
      <c r="G166" s="8"/>
      <c r="O166" s="8"/>
      <c r="P166" s="3"/>
    </row>
    <row r="167" spans="1:16" x14ac:dyDescent="0.25">
      <c r="A167" s="17"/>
      <c r="B167" s="8"/>
      <c r="C167" s="8"/>
      <c r="D167" s="8"/>
      <c r="E167" s="3"/>
      <c r="F167" s="8"/>
      <c r="G167" s="8"/>
      <c r="O167" s="8"/>
      <c r="P167" s="3"/>
    </row>
    <row r="168" spans="1:16" x14ac:dyDescent="0.25">
      <c r="A168" s="17"/>
      <c r="B168" s="8"/>
      <c r="C168" s="8"/>
      <c r="D168" s="8"/>
      <c r="E168" s="3"/>
      <c r="F168" s="8"/>
      <c r="G168" s="8"/>
      <c r="O168" s="8"/>
      <c r="P168" s="3"/>
    </row>
    <row r="169" spans="1:16" x14ac:dyDescent="0.25">
      <c r="A169" s="17"/>
      <c r="B169" s="8"/>
      <c r="C169" s="8"/>
      <c r="D169" s="8"/>
      <c r="E169" s="3"/>
      <c r="F169" s="8"/>
      <c r="G169" s="8"/>
      <c r="O169" s="8"/>
      <c r="P169" s="3"/>
    </row>
    <row r="170" spans="1:16" x14ac:dyDescent="0.25">
      <c r="A170" s="17"/>
      <c r="B170" s="8"/>
      <c r="C170" s="8"/>
      <c r="D170" s="8"/>
      <c r="E170" s="3"/>
      <c r="F170" s="8"/>
      <c r="G170" s="8"/>
      <c r="O170" s="8"/>
      <c r="P170" s="3"/>
    </row>
    <row r="171" spans="1:16" x14ac:dyDescent="0.25">
      <c r="A171" s="17"/>
      <c r="B171" s="8"/>
      <c r="C171" s="8"/>
      <c r="D171" s="8"/>
      <c r="E171" s="3"/>
      <c r="F171" s="8"/>
      <c r="G171" s="8"/>
      <c r="O171" s="8"/>
      <c r="P171" s="3"/>
    </row>
    <row r="172" spans="1:16" x14ac:dyDescent="0.25">
      <c r="A172" s="17"/>
      <c r="B172" s="8"/>
      <c r="C172" s="8"/>
      <c r="D172" s="8"/>
      <c r="E172" s="3"/>
      <c r="F172" s="8"/>
      <c r="G172" s="8"/>
      <c r="O172" s="8"/>
      <c r="P172" s="3"/>
    </row>
    <row r="173" spans="1:16" x14ac:dyDescent="0.25">
      <c r="A173" s="17"/>
      <c r="B173" s="8"/>
      <c r="C173" s="8"/>
      <c r="D173" s="8"/>
      <c r="E173" s="3"/>
      <c r="F173" s="8"/>
      <c r="G173" s="8"/>
      <c r="O173" s="8"/>
      <c r="P173" s="3"/>
    </row>
    <row r="174" spans="1:16" x14ac:dyDescent="0.25">
      <c r="A174" s="17"/>
      <c r="B174" s="8"/>
      <c r="C174" s="8"/>
      <c r="D174" s="8"/>
      <c r="E174" s="3"/>
      <c r="F174" s="8"/>
      <c r="G174" s="8"/>
      <c r="O174" s="8"/>
      <c r="P174" s="3"/>
    </row>
    <row r="175" spans="1:16" x14ac:dyDescent="0.25">
      <c r="A175" s="17"/>
      <c r="B175" s="8"/>
      <c r="C175" s="8"/>
      <c r="D175" s="8"/>
      <c r="E175" s="3"/>
      <c r="F175" s="8"/>
      <c r="G175" s="8"/>
      <c r="O175" s="8"/>
      <c r="P175" s="3"/>
    </row>
    <row r="176" spans="1:16" x14ac:dyDescent="0.25">
      <c r="A176" s="17"/>
      <c r="B176" s="8"/>
      <c r="C176" s="8"/>
      <c r="D176" s="8"/>
      <c r="E176" s="3"/>
      <c r="F176" s="8"/>
      <c r="G176" s="8"/>
      <c r="O176" s="8"/>
      <c r="P176" s="3"/>
    </row>
    <row r="177" spans="1:16" x14ac:dyDescent="0.25">
      <c r="A177" s="17"/>
      <c r="B177" s="8"/>
      <c r="C177" s="8"/>
      <c r="D177" s="8"/>
      <c r="E177" s="3"/>
      <c r="F177" s="8"/>
      <c r="G177" s="8"/>
      <c r="O177" s="8"/>
      <c r="P177" s="3"/>
    </row>
    <row r="178" spans="1:16" x14ac:dyDescent="0.25">
      <c r="A178" s="17"/>
      <c r="B178" s="8"/>
      <c r="C178" s="8"/>
      <c r="D178" s="8"/>
      <c r="E178" s="3"/>
      <c r="F178" s="8"/>
      <c r="G178" s="8"/>
      <c r="O178" s="8"/>
      <c r="P178" s="3"/>
    </row>
    <row r="179" spans="1:16" x14ac:dyDescent="0.25">
      <c r="A179" s="17"/>
      <c r="B179" s="8"/>
      <c r="C179" s="8"/>
      <c r="D179" s="8"/>
      <c r="E179" s="3"/>
      <c r="F179" s="8"/>
      <c r="G179" s="8"/>
      <c r="O179" s="8"/>
      <c r="P179" s="3"/>
    </row>
    <row r="180" spans="1:16" x14ac:dyDescent="0.25">
      <c r="A180" s="17"/>
      <c r="B180" s="8"/>
      <c r="C180" s="8"/>
      <c r="D180" s="8"/>
      <c r="E180" s="3"/>
      <c r="F180" s="8"/>
      <c r="G180" s="8"/>
      <c r="O180" s="8"/>
      <c r="P180" s="3"/>
    </row>
    <row r="181" spans="1:16" x14ac:dyDescent="0.25">
      <c r="A181" s="17"/>
      <c r="B181" s="8"/>
      <c r="C181" s="8"/>
      <c r="D181" s="8"/>
      <c r="E181" s="3"/>
      <c r="F181" s="8"/>
      <c r="G181" s="8"/>
      <c r="O181" s="8"/>
      <c r="P181" s="3"/>
    </row>
    <row r="182" spans="1:16" x14ac:dyDescent="0.25">
      <c r="A182" s="17"/>
      <c r="B182" s="8"/>
      <c r="C182" s="8"/>
      <c r="D182" s="8"/>
      <c r="E182" s="3"/>
      <c r="F182" s="8"/>
      <c r="G182" s="8"/>
      <c r="O182" s="8"/>
      <c r="P182" s="3"/>
    </row>
    <row r="183" spans="1:16" x14ac:dyDescent="0.25">
      <c r="A183" s="17"/>
      <c r="B183" s="8"/>
      <c r="C183" s="8"/>
      <c r="D183" s="8"/>
      <c r="E183" s="3"/>
      <c r="F183" s="8"/>
      <c r="G183" s="8"/>
      <c r="O183" s="8"/>
      <c r="P183" s="3"/>
    </row>
    <row r="184" spans="1:16" x14ac:dyDescent="0.25">
      <c r="A184" s="17"/>
      <c r="B184" s="8"/>
      <c r="C184" s="8"/>
      <c r="D184" s="8"/>
      <c r="E184" s="3"/>
      <c r="F184" s="8"/>
      <c r="G184" s="8"/>
      <c r="O184" s="8"/>
      <c r="P184" s="3"/>
    </row>
    <row r="185" spans="1:16" x14ac:dyDescent="0.25">
      <c r="A185" s="17"/>
      <c r="B185" s="8"/>
      <c r="C185" s="8"/>
      <c r="D185" s="8"/>
      <c r="E185" s="3"/>
      <c r="F185" s="8"/>
      <c r="G185" s="8"/>
      <c r="O185" s="8"/>
      <c r="P185" s="3"/>
    </row>
    <row r="186" spans="1:16" x14ac:dyDescent="0.25">
      <c r="A186" s="17"/>
      <c r="B186" s="8"/>
      <c r="C186" s="8"/>
      <c r="D186" s="8"/>
      <c r="E186" s="3"/>
      <c r="F186" s="8"/>
      <c r="G186" s="8"/>
      <c r="O186" s="8"/>
      <c r="P186" s="3"/>
    </row>
    <row r="187" spans="1:16" x14ac:dyDescent="0.25">
      <c r="A187" s="17"/>
      <c r="B187" s="8"/>
      <c r="C187" s="8"/>
      <c r="D187" s="8"/>
      <c r="E187" s="3"/>
      <c r="F187" s="8"/>
      <c r="G187" s="8"/>
      <c r="O187" s="8"/>
      <c r="P187" s="3"/>
    </row>
    <row r="188" spans="1:16" x14ac:dyDescent="0.25">
      <c r="A188" s="17"/>
      <c r="B188" s="8"/>
      <c r="C188" s="8"/>
      <c r="D188" s="8"/>
      <c r="E188" s="3"/>
      <c r="F188" s="8"/>
      <c r="G188" s="8"/>
      <c r="O188" s="8"/>
      <c r="P188" s="3"/>
    </row>
    <row r="189" spans="1:16" x14ac:dyDescent="0.25">
      <c r="A189" s="17"/>
      <c r="B189" s="8"/>
      <c r="C189" s="8"/>
      <c r="D189" s="8"/>
      <c r="E189" s="3"/>
      <c r="F189" s="8"/>
      <c r="G189" s="8"/>
      <c r="O189" s="8"/>
      <c r="P189" s="3"/>
    </row>
    <row r="190" spans="1:16" x14ac:dyDescent="0.25">
      <c r="A190" s="17"/>
      <c r="B190" s="8"/>
      <c r="C190" s="8"/>
      <c r="D190" s="8"/>
      <c r="E190" s="3"/>
      <c r="F190" s="8"/>
      <c r="G190" s="8"/>
      <c r="O190" s="8"/>
      <c r="P190" s="3"/>
    </row>
    <row r="191" spans="1:16" x14ac:dyDescent="0.25">
      <c r="A191" s="17"/>
      <c r="B191" s="8"/>
      <c r="C191" s="8"/>
      <c r="D191" s="8"/>
      <c r="E191" s="3"/>
      <c r="F191" s="8"/>
      <c r="G191" s="8"/>
      <c r="O191" s="8"/>
      <c r="P191" s="3"/>
    </row>
    <row r="192" spans="1:16" x14ac:dyDescent="0.25">
      <c r="A192" s="17"/>
      <c r="B192" s="8"/>
      <c r="C192" s="8"/>
      <c r="D192" s="8"/>
      <c r="E192" s="3"/>
      <c r="F192" s="8"/>
      <c r="G192" s="8"/>
      <c r="O192" s="8"/>
      <c r="P192" s="3"/>
    </row>
    <row r="193" spans="1:16" x14ac:dyDescent="0.25">
      <c r="A193" s="17"/>
      <c r="B193" s="8"/>
      <c r="C193" s="8"/>
      <c r="D193" s="8"/>
      <c r="E193" s="3"/>
      <c r="F193" s="8"/>
      <c r="G193" s="8"/>
      <c r="O193" s="8"/>
      <c r="P193" s="3"/>
    </row>
    <row r="194" spans="1:16" x14ac:dyDescent="0.25">
      <c r="A194" s="17"/>
      <c r="B194" s="8"/>
      <c r="C194" s="8"/>
      <c r="D194" s="8"/>
      <c r="E194" s="3"/>
      <c r="F194" s="8"/>
      <c r="G194" s="8"/>
      <c r="O194" s="8"/>
      <c r="P194" s="3"/>
    </row>
    <row r="195" spans="1:16" x14ac:dyDescent="0.25">
      <c r="A195" s="17"/>
      <c r="B195" s="8"/>
      <c r="C195" s="8"/>
      <c r="D195" s="8"/>
      <c r="E195" s="3"/>
      <c r="F195" s="8"/>
      <c r="G195" s="8"/>
      <c r="O195" s="8"/>
      <c r="P195" s="3"/>
    </row>
    <row r="196" spans="1:16" x14ac:dyDescent="0.25">
      <c r="A196" s="17"/>
      <c r="B196" s="8"/>
      <c r="C196" s="8"/>
      <c r="D196" s="8"/>
      <c r="E196" s="3"/>
      <c r="F196" s="8"/>
      <c r="G196" s="8"/>
      <c r="O196" s="8"/>
      <c r="P196" s="3"/>
    </row>
    <row r="197" spans="1:16" x14ac:dyDescent="0.25">
      <c r="A197" s="17"/>
      <c r="B197" s="8"/>
      <c r="C197" s="8"/>
      <c r="D197" s="8"/>
      <c r="E197" s="3"/>
      <c r="F197" s="8"/>
      <c r="G197" s="8"/>
      <c r="O197" s="8"/>
      <c r="P197" s="3"/>
    </row>
    <row r="198" spans="1:16" x14ac:dyDescent="0.25">
      <c r="A198" s="17"/>
      <c r="B198" s="8"/>
      <c r="C198" s="8"/>
      <c r="D198" s="8"/>
      <c r="E198" s="3"/>
      <c r="F198" s="8"/>
      <c r="G198" s="8"/>
      <c r="O198" s="8"/>
      <c r="P198" s="3"/>
    </row>
    <row r="199" spans="1:16" x14ac:dyDescent="0.25">
      <c r="A199" s="17"/>
      <c r="B199" s="8"/>
      <c r="C199" s="8"/>
      <c r="D199" s="8"/>
      <c r="E199" s="3"/>
      <c r="F199" s="8"/>
      <c r="G199" s="8"/>
      <c r="O199" s="8"/>
      <c r="P199" s="3"/>
    </row>
    <row r="200" spans="1:16" x14ac:dyDescent="0.25">
      <c r="A200" s="17"/>
      <c r="B200" s="8"/>
      <c r="C200" s="8"/>
      <c r="D200" s="8"/>
      <c r="E200" s="3"/>
      <c r="F200" s="8"/>
      <c r="G200" s="8"/>
      <c r="O200" s="8"/>
      <c r="P200" s="3"/>
    </row>
    <row r="201" spans="1:16" x14ac:dyDescent="0.25">
      <c r="A201" s="17"/>
      <c r="B201" s="8"/>
      <c r="C201" s="8"/>
      <c r="D201" s="8"/>
      <c r="E201" s="3"/>
      <c r="F201" s="8"/>
      <c r="G201" s="8"/>
      <c r="O201" s="8"/>
      <c r="P201" s="3"/>
    </row>
    <row r="202" spans="1:16" x14ac:dyDescent="0.25">
      <c r="A202" s="17"/>
      <c r="B202" s="8"/>
      <c r="C202" s="8"/>
      <c r="D202" s="8"/>
      <c r="E202" s="3"/>
      <c r="F202" s="8"/>
      <c r="G202" s="8"/>
      <c r="O202" s="8"/>
      <c r="P202" s="3"/>
    </row>
    <row r="203" spans="1:16" x14ac:dyDescent="0.25">
      <c r="A203" s="17"/>
      <c r="B203" s="8"/>
      <c r="C203" s="8"/>
      <c r="D203" s="8"/>
      <c r="E203" s="3"/>
      <c r="F203" s="8"/>
      <c r="G203" s="8"/>
      <c r="O203" s="8"/>
      <c r="P203" s="3"/>
    </row>
    <row r="204" spans="1:16" x14ac:dyDescent="0.25">
      <c r="A204" s="17"/>
      <c r="B204" s="8"/>
      <c r="C204" s="8"/>
      <c r="D204" s="8"/>
      <c r="E204" s="3"/>
      <c r="F204" s="8"/>
      <c r="G204" s="8"/>
      <c r="O204" s="8"/>
      <c r="P204" s="3"/>
    </row>
    <row r="205" spans="1:16" x14ac:dyDescent="0.25">
      <c r="A205" s="17"/>
      <c r="B205" s="8"/>
      <c r="C205" s="8"/>
      <c r="D205" s="8"/>
      <c r="E205" s="3"/>
      <c r="F205" s="8"/>
      <c r="G205" s="8"/>
      <c r="O205" s="8"/>
      <c r="P205" s="3"/>
    </row>
    <row r="206" spans="1:16" x14ac:dyDescent="0.25">
      <c r="A206" s="17"/>
      <c r="B206" s="8"/>
      <c r="C206" s="8"/>
      <c r="D206" s="8"/>
      <c r="E206" s="3"/>
      <c r="F206" s="8"/>
      <c r="G206" s="8"/>
      <c r="O206" s="8"/>
      <c r="P206" s="3"/>
    </row>
    <row r="207" spans="1:16" x14ac:dyDescent="0.25">
      <c r="A207" s="17"/>
      <c r="B207" s="8"/>
      <c r="C207" s="8"/>
      <c r="D207" s="8"/>
      <c r="E207" s="3"/>
      <c r="F207" s="8"/>
      <c r="G207" s="8"/>
      <c r="O207" s="8"/>
      <c r="P207" s="3"/>
    </row>
    <row r="208" spans="1:16" x14ac:dyDescent="0.25">
      <c r="A208" s="17"/>
      <c r="B208" s="8"/>
      <c r="C208" s="8"/>
      <c r="D208" s="8"/>
      <c r="E208" s="3"/>
      <c r="F208" s="8"/>
      <c r="G208" s="8"/>
      <c r="O208" s="8"/>
      <c r="P208" s="3"/>
    </row>
    <row r="209" spans="1:16" x14ac:dyDescent="0.25">
      <c r="A209" s="17"/>
      <c r="B209" s="8"/>
      <c r="C209" s="8"/>
      <c r="D209" s="8"/>
      <c r="E209" s="3"/>
      <c r="F209" s="8"/>
      <c r="G209" s="8"/>
      <c r="O209" s="8"/>
      <c r="P209" s="3"/>
    </row>
    <row r="210" spans="1:16" x14ac:dyDescent="0.25">
      <c r="A210" s="17"/>
      <c r="B210" s="8"/>
      <c r="C210" s="8"/>
      <c r="D210" s="8"/>
      <c r="E210" s="3"/>
      <c r="F210" s="8"/>
      <c r="G210" s="8"/>
      <c r="O210" s="8"/>
      <c r="P210" s="3"/>
    </row>
    <row r="211" spans="1:16" x14ac:dyDescent="0.25">
      <c r="A211" s="17"/>
      <c r="B211" s="8"/>
      <c r="C211" s="8"/>
      <c r="D211" s="8"/>
      <c r="E211" s="3"/>
      <c r="F211" s="8"/>
      <c r="G211" s="8"/>
      <c r="O211" s="8"/>
      <c r="P211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6FF9E-C1B1-4E2D-9FE6-506CE57E87B6}">
  <sheetPr codeName="Sheet2"/>
  <dimension ref="A1:X88"/>
  <sheetViews>
    <sheetView workbookViewId="0">
      <pane xSplit="1" ySplit="2" topLeftCell="P3" activePane="bottomRight" state="frozen"/>
      <selection pane="topRight" activeCell="B1" sqref="B1"/>
      <selection pane="bottomLeft" activeCell="A3" sqref="A3"/>
      <selection pane="bottomRight" activeCell="S3" sqref="S3"/>
    </sheetView>
  </sheetViews>
  <sheetFormatPr defaultRowHeight="15" x14ac:dyDescent="0.25"/>
  <cols>
    <col min="1" max="1" width="18.140625" customWidth="1"/>
    <col min="2" max="2" width="11.85546875" customWidth="1"/>
    <col min="3" max="3" width="12.42578125" bestFit="1" customWidth="1"/>
    <col min="4" max="4" width="12.5703125" bestFit="1" customWidth="1"/>
    <col min="5" max="5" width="10.28515625" bestFit="1" customWidth="1"/>
    <col min="6" max="6" width="8.28515625" customWidth="1"/>
    <col min="7" max="7" width="8.140625" customWidth="1"/>
    <col min="8" max="8" width="14.85546875" bestFit="1" customWidth="1"/>
    <col min="9" max="9" width="10.85546875" bestFit="1" customWidth="1"/>
    <col min="14" max="14" width="10.85546875" bestFit="1" customWidth="1"/>
    <col min="16" max="16" width="12.42578125" bestFit="1" customWidth="1"/>
    <col min="17" max="17" width="13.7109375" bestFit="1" customWidth="1"/>
    <col min="18" max="18" width="12.42578125" style="3" customWidth="1"/>
    <col min="19" max="19" width="10.28515625" customWidth="1"/>
    <col min="21" max="21" width="13.28515625" bestFit="1" customWidth="1"/>
    <col min="22" max="22" width="24.5703125" bestFit="1" customWidth="1"/>
    <col min="23" max="23" width="14.7109375" customWidth="1"/>
    <col min="24" max="24" width="49.85546875" customWidth="1"/>
  </cols>
  <sheetData>
    <row r="1" spans="1:24" ht="18.75" x14ac:dyDescent="0.3">
      <c r="A1" s="20" t="s">
        <v>312</v>
      </c>
      <c r="B1" s="8" t="s">
        <v>43</v>
      </c>
      <c r="C1" s="8"/>
      <c r="D1" s="8"/>
      <c r="E1" s="3"/>
      <c r="F1" t="s">
        <v>7</v>
      </c>
      <c r="I1" t="s">
        <v>195</v>
      </c>
      <c r="J1" t="s">
        <v>196</v>
      </c>
      <c r="N1" s="8"/>
      <c r="O1" s="8"/>
      <c r="P1" s="3" t="s">
        <v>146</v>
      </c>
      <c r="Q1" s="8"/>
      <c r="S1" t="s">
        <v>8</v>
      </c>
      <c r="U1" t="s">
        <v>193</v>
      </c>
    </row>
    <row r="2" spans="1:24" x14ac:dyDescent="0.25">
      <c r="A2" s="3" t="s">
        <v>0</v>
      </c>
      <c r="B2" s="8" t="s">
        <v>44</v>
      </c>
      <c r="C2" s="8" t="s">
        <v>324</v>
      </c>
      <c r="D2" s="8" t="s">
        <v>325</v>
      </c>
      <c r="E2" s="3" t="s">
        <v>46</v>
      </c>
      <c r="F2" s="8" t="s">
        <v>38</v>
      </c>
      <c r="G2" s="8" t="s">
        <v>39</v>
      </c>
      <c r="H2" t="s">
        <v>1</v>
      </c>
      <c r="I2" t="s">
        <v>2</v>
      </c>
      <c r="J2" t="s">
        <v>5</v>
      </c>
      <c r="K2" t="s">
        <v>241</v>
      </c>
      <c r="L2" t="s">
        <v>240</v>
      </c>
      <c r="M2" t="s">
        <v>323</v>
      </c>
      <c r="N2" t="s">
        <v>3</v>
      </c>
      <c r="O2" s="8" t="s">
        <v>4</v>
      </c>
      <c r="P2" s="3" t="s">
        <v>145</v>
      </c>
      <c r="Q2" s="4" t="s">
        <v>305</v>
      </c>
      <c r="R2" s="3" t="s">
        <v>288</v>
      </c>
      <c r="S2" s="4" t="s">
        <v>9</v>
      </c>
      <c r="T2" s="4" t="s">
        <v>10</v>
      </c>
      <c r="U2" s="4" t="s">
        <v>36</v>
      </c>
      <c r="V2" s="4" t="s">
        <v>122</v>
      </c>
      <c r="W2" s="4" t="s">
        <v>57</v>
      </c>
      <c r="X2" s="4" t="s">
        <v>21</v>
      </c>
    </row>
    <row r="3" spans="1:24" s="40" customFormat="1" x14ac:dyDescent="0.25">
      <c r="A3" s="39">
        <v>2</v>
      </c>
      <c r="B3" s="4" t="s">
        <v>284</v>
      </c>
      <c r="C3" s="8" t="s">
        <v>186</v>
      </c>
      <c r="D3" s="8" t="s">
        <v>326</v>
      </c>
      <c r="E3" s="3">
        <v>65</v>
      </c>
      <c r="F3" s="4">
        <v>100</v>
      </c>
      <c r="G3" s="4">
        <v>600</v>
      </c>
      <c r="H3" s="4">
        <v>400</v>
      </c>
      <c r="I3" s="4">
        <v>10</v>
      </c>
      <c r="J3" s="34">
        <v>15</v>
      </c>
      <c r="K3" s="2">
        <v>1.0000000000000001E-5</v>
      </c>
      <c r="L3" s="2">
        <v>4.0000000000000001E-8</v>
      </c>
      <c r="M3" s="2"/>
      <c r="N3">
        <v>48</v>
      </c>
      <c r="O3" s="9">
        <v>4890000</v>
      </c>
      <c r="P3" s="3">
        <v>2.78</v>
      </c>
      <c r="Q3" s="9">
        <v>1.0000000000000001E-9</v>
      </c>
      <c r="R3" s="36">
        <v>4.0000000000000002E-4</v>
      </c>
      <c r="S3" s="35">
        <v>5.6000000000000001E-2</v>
      </c>
      <c r="T3" s="35">
        <v>20.010000000000002</v>
      </c>
      <c r="U3" s="35"/>
      <c r="V3" s="35"/>
      <c r="W3" s="35" t="s">
        <v>314</v>
      </c>
      <c r="X3" s="35" t="s">
        <v>313</v>
      </c>
    </row>
    <row r="4" spans="1:24" s="40" customFormat="1" x14ac:dyDescent="0.25">
      <c r="A4" s="41"/>
      <c r="B4" s="35"/>
      <c r="C4" s="35"/>
      <c r="D4" s="35"/>
      <c r="E4" s="15"/>
      <c r="F4" s="35"/>
      <c r="G4" s="35"/>
      <c r="O4" s="35"/>
      <c r="P4" s="15"/>
      <c r="Q4" s="35"/>
      <c r="R4" s="15"/>
      <c r="S4" s="35"/>
      <c r="T4" s="35"/>
      <c r="U4" s="35"/>
      <c r="V4" s="35"/>
      <c r="W4" s="35"/>
      <c r="X4" s="35"/>
    </row>
    <row r="5" spans="1:24" s="40" customFormat="1" x14ac:dyDescent="0.25">
      <c r="A5" s="15"/>
      <c r="B5" s="35"/>
      <c r="C5" s="35"/>
      <c r="D5" s="35"/>
      <c r="E5" s="15"/>
      <c r="I5" s="42"/>
      <c r="O5" s="43"/>
      <c r="P5" s="15"/>
      <c r="Q5" s="35"/>
      <c r="R5" s="15"/>
      <c r="S5" s="35"/>
      <c r="T5" s="35"/>
      <c r="U5" s="35"/>
      <c r="V5" s="35"/>
      <c r="W5" s="35"/>
      <c r="X5" s="35"/>
    </row>
    <row r="6" spans="1:24" s="40" customFormat="1" x14ac:dyDescent="0.25">
      <c r="A6" s="15"/>
      <c r="B6" s="35"/>
      <c r="C6" s="35"/>
      <c r="D6" s="35"/>
      <c r="E6" s="15"/>
      <c r="I6" s="42"/>
      <c r="O6" s="43"/>
      <c r="P6" s="15"/>
      <c r="Q6" s="35"/>
      <c r="R6" s="15"/>
      <c r="S6" s="35"/>
      <c r="T6" s="35"/>
      <c r="U6" s="35"/>
      <c r="V6" s="35"/>
      <c r="W6" s="35"/>
      <c r="X6" s="35"/>
    </row>
    <row r="7" spans="1:24" s="40" customFormat="1" x14ac:dyDescent="0.25">
      <c r="A7" s="15"/>
      <c r="B7" s="35"/>
      <c r="C7" s="35"/>
      <c r="D7" s="35"/>
      <c r="E7" s="15"/>
      <c r="F7" s="35"/>
      <c r="G7" s="35"/>
      <c r="I7" s="42"/>
      <c r="J7" s="42"/>
      <c r="K7" s="42"/>
      <c r="L7" s="42"/>
      <c r="M7" s="42"/>
      <c r="N7" s="35"/>
      <c r="O7" s="44"/>
      <c r="P7" s="15"/>
      <c r="Q7" s="35"/>
      <c r="R7" s="15"/>
      <c r="S7" s="45"/>
      <c r="T7" s="35"/>
      <c r="W7" s="35"/>
    </row>
    <row r="8" spans="1:24" s="40" customFormat="1" x14ac:dyDescent="0.25">
      <c r="A8" s="15"/>
      <c r="B8" s="35"/>
      <c r="C8" s="35"/>
      <c r="D8" s="35"/>
      <c r="E8" s="15"/>
      <c r="F8" s="35"/>
      <c r="G8" s="35"/>
      <c r="I8" s="42"/>
      <c r="J8" s="42"/>
      <c r="K8" s="42"/>
      <c r="L8" s="42"/>
      <c r="M8" s="42"/>
      <c r="N8" s="35"/>
      <c r="O8" s="44"/>
      <c r="P8" s="15"/>
      <c r="Q8" s="35"/>
      <c r="R8" s="15"/>
      <c r="W8" s="35"/>
    </row>
    <row r="9" spans="1:24" s="40" customFormat="1" x14ac:dyDescent="0.25">
      <c r="A9" s="15"/>
      <c r="B9" s="35"/>
      <c r="C9" s="35"/>
      <c r="D9" s="35"/>
      <c r="E9" s="15"/>
      <c r="F9" s="35"/>
      <c r="G9" s="35"/>
      <c r="I9" s="42"/>
      <c r="J9" s="42"/>
      <c r="K9" s="42"/>
      <c r="L9" s="42"/>
      <c r="M9" s="42"/>
      <c r="N9" s="35"/>
      <c r="O9" s="44"/>
      <c r="P9" s="15"/>
      <c r="Q9" s="35"/>
      <c r="R9" s="15"/>
      <c r="W9" s="35"/>
    </row>
    <row r="10" spans="1:24" s="40" customFormat="1" x14ac:dyDescent="0.25">
      <c r="A10" s="15"/>
      <c r="B10" s="35"/>
      <c r="C10" s="35"/>
      <c r="D10" s="35"/>
      <c r="E10" s="15"/>
      <c r="F10" s="35"/>
      <c r="G10" s="35"/>
      <c r="I10" s="42"/>
      <c r="J10" s="42"/>
      <c r="K10" s="42"/>
      <c r="L10" s="42"/>
      <c r="M10" s="42"/>
      <c r="O10" s="43"/>
      <c r="P10" s="15"/>
      <c r="Q10" s="35"/>
      <c r="R10" s="15"/>
      <c r="W10" s="35"/>
    </row>
    <row r="11" spans="1:24" s="40" customFormat="1" x14ac:dyDescent="0.25">
      <c r="A11" s="15"/>
      <c r="B11" s="35"/>
      <c r="C11" s="35"/>
      <c r="D11" s="35"/>
      <c r="E11" s="15"/>
      <c r="F11" s="35"/>
      <c r="G11" s="35"/>
      <c r="I11" s="42"/>
      <c r="J11" s="42"/>
      <c r="K11" s="42"/>
      <c r="L11" s="42"/>
      <c r="M11" s="42"/>
      <c r="O11" s="43"/>
      <c r="P11" s="15"/>
      <c r="Q11" s="35"/>
      <c r="R11" s="15"/>
      <c r="W11" s="35"/>
      <c r="X11" s="35"/>
    </row>
    <row r="12" spans="1:24" s="40" customFormat="1" x14ac:dyDescent="0.25">
      <c r="A12" s="15"/>
      <c r="B12" s="35"/>
      <c r="C12" s="35"/>
      <c r="D12" s="35"/>
      <c r="E12" s="15"/>
      <c r="I12" s="42"/>
      <c r="O12" s="43"/>
      <c r="P12" s="15"/>
      <c r="Q12" s="35"/>
      <c r="R12" s="15"/>
      <c r="S12" s="35"/>
      <c r="T12" s="35"/>
      <c r="U12" s="35"/>
      <c r="V12" s="44"/>
    </row>
    <row r="13" spans="1:24" s="40" customFormat="1" x14ac:dyDescent="0.25">
      <c r="A13" s="15"/>
      <c r="B13" s="35"/>
      <c r="C13" s="35"/>
      <c r="D13" s="35"/>
      <c r="E13" s="15"/>
      <c r="I13" s="42"/>
      <c r="O13" s="43"/>
      <c r="P13" s="15"/>
      <c r="Q13" s="35"/>
      <c r="R13" s="15"/>
      <c r="S13" s="35"/>
      <c r="T13" s="35"/>
      <c r="U13" s="35"/>
      <c r="V13" s="44"/>
    </row>
    <row r="14" spans="1:24" s="40" customFormat="1" x14ac:dyDescent="0.25">
      <c r="A14" s="15"/>
      <c r="B14" s="35"/>
      <c r="C14" s="35"/>
      <c r="D14" s="35"/>
      <c r="E14" s="15"/>
      <c r="I14" s="42"/>
      <c r="N14" s="35"/>
      <c r="O14" s="35"/>
      <c r="P14" s="15"/>
      <c r="Q14" s="35"/>
      <c r="R14" s="15"/>
      <c r="S14" s="35"/>
      <c r="T14" s="35"/>
      <c r="U14" s="35"/>
      <c r="V14" s="44"/>
    </row>
    <row r="15" spans="1:24" s="40" customFormat="1" x14ac:dyDescent="0.25">
      <c r="A15" s="15"/>
      <c r="B15" s="35"/>
      <c r="C15" s="35"/>
      <c r="D15" s="35"/>
      <c r="E15" s="15"/>
      <c r="I15" s="42"/>
      <c r="O15" s="43"/>
      <c r="P15" s="15"/>
      <c r="Q15" s="35"/>
      <c r="R15" s="15"/>
      <c r="T15" s="35"/>
      <c r="W15" s="35"/>
    </row>
    <row r="16" spans="1:24" s="40" customFormat="1" x14ac:dyDescent="0.25">
      <c r="A16" s="15"/>
      <c r="B16" s="35"/>
      <c r="C16" s="35"/>
      <c r="D16" s="35"/>
      <c r="E16" s="15"/>
      <c r="F16" s="35"/>
      <c r="G16" s="35"/>
      <c r="I16" s="42"/>
      <c r="J16" s="42"/>
      <c r="K16" s="42"/>
      <c r="L16" s="42"/>
      <c r="M16" s="42"/>
      <c r="O16" s="44"/>
      <c r="P16" s="15"/>
      <c r="Q16" s="35"/>
      <c r="R16" s="15"/>
      <c r="S16" s="35"/>
      <c r="T16" s="35"/>
      <c r="U16" s="35"/>
      <c r="V16" s="44"/>
      <c r="W16" s="35"/>
    </row>
    <row r="17" spans="1:23" s="40" customFormat="1" x14ac:dyDescent="0.25">
      <c r="A17" s="39"/>
      <c r="B17" s="35"/>
      <c r="C17" s="35"/>
      <c r="D17" s="35"/>
      <c r="E17" s="15"/>
      <c r="I17" s="42"/>
      <c r="N17" s="35"/>
      <c r="O17" s="35"/>
      <c r="P17" s="15"/>
      <c r="Q17" s="35"/>
      <c r="R17" s="15"/>
      <c r="S17" s="35"/>
      <c r="T17" s="35"/>
      <c r="U17" s="35"/>
      <c r="V17" s="44"/>
      <c r="W17" s="35"/>
    </row>
    <row r="18" spans="1:23" s="40" customFormat="1" x14ac:dyDescent="0.25">
      <c r="A18" s="15"/>
      <c r="B18" s="35"/>
      <c r="C18" s="35"/>
      <c r="D18" s="35"/>
      <c r="E18" s="15"/>
      <c r="F18" s="35"/>
      <c r="G18" s="35"/>
      <c r="I18" s="42"/>
      <c r="J18" s="42"/>
      <c r="K18" s="42"/>
      <c r="L18" s="42"/>
      <c r="M18" s="42"/>
      <c r="N18" s="35"/>
      <c r="O18" s="44"/>
      <c r="P18" s="15"/>
      <c r="Q18" s="35"/>
      <c r="R18" s="15"/>
      <c r="S18" s="35"/>
      <c r="T18" s="35"/>
      <c r="U18" s="35"/>
      <c r="V18" s="44"/>
      <c r="W18" s="35"/>
    </row>
    <row r="19" spans="1:23" s="40" customFormat="1" x14ac:dyDescent="0.25">
      <c r="A19" s="39"/>
      <c r="B19" s="35"/>
      <c r="C19" s="35"/>
      <c r="D19" s="35"/>
      <c r="E19" s="15"/>
      <c r="F19" s="35"/>
      <c r="G19" s="35"/>
      <c r="I19" s="42"/>
      <c r="J19" s="42"/>
      <c r="K19" s="42"/>
      <c r="L19" s="42"/>
      <c r="M19" s="42"/>
      <c r="N19" s="35"/>
      <c r="O19" s="44"/>
      <c r="P19" s="15"/>
      <c r="Q19" s="35"/>
      <c r="R19" s="15"/>
      <c r="S19" s="35"/>
      <c r="T19" s="35"/>
      <c r="U19" s="35"/>
      <c r="V19" s="44"/>
      <c r="W19" s="35"/>
    </row>
    <row r="20" spans="1:23" s="40" customFormat="1" x14ac:dyDescent="0.25">
      <c r="A20" s="15"/>
      <c r="B20" s="35"/>
      <c r="C20" s="35"/>
      <c r="D20" s="35"/>
      <c r="E20" s="15"/>
      <c r="F20" s="35"/>
      <c r="G20" s="35"/>
      <c r="H20" s="35"/>
      <c r="J20" s="42"/>
      <c r="K20" s="42"/>
      <c r="L20" s="42"/>
      <c r="M20" s="42"/>
      <c r="N20" s="35"/>
      <c r="O20" s="44"/>
      <c r="P20" s="15"/>
      <c r="Q20" s="35"/>
      <c r="R20" s="15"/>
    </row>
    <row r="21" spans="1:23" s="40" customFormat="1" x14ac:dyDescent="0.25">
      <c r="A21" s="15"/>
      <c r="B21" s="35"/>
      <c r="C21" s="35"/>
      <c r="D21" s="35"/>
      <c r="E21" s="15"/>
      <c r="F21" s="35"/>
      <c r="G21" s="35"/>
      <c r="H21" s="35"/>
      <c r="J21" s="42"/>
      <c r="K21" s="42"/>
      <c r="L21" s="42"/>
      <c r="M21" s="42"/>
      <c r="N21" s="35"/>
      <c r="O21" s="44"/>
      <c r="P21" s="15"/>
      <c r="Q21" s="35"/>
      <c r="R21" s="15"/>
      <c r="U21" s="35"/>
      <c r="W21" s="35"/>
    </row>
    <row r="22" spans="1:23" s="40" customFormat="1" x14ac:dyDescent="0.25">
      <c r="A22" s="15"/>
      <c r="B22" s="35"/>
      <c r="C22" s="35"/>
      <c r="D22" s="35"/>
      <c r="E22" s="15"/>
      <c r="F22" s="35"/>
      <c r="G22" s="35"/>
      <c r="H22" s="35"/>
      <c r="J22" s="42"/>
      <c r="K22" s="42"/>
      <c r="L22" s="42"/>
      <c r="M22" s="42"/>
      <c r="N22" s="35"/>
      <c r="O22" s="44"/>
      <c r="P22" s="15"/>
      <c r="Q22" s="35"/>
      <c r="R22" s="15"/>
      <c r="U22" s="35"/>
    </row>
    <row r="23" spans="1:23" s="40" customFormat="1" x14ac:dyDescent="0.25">
      <c r="B23" s="35"/>
      <c r="C23" s="35"/>
      <c r="D23" s="35"/>
      <c r="E23" s="15"/>
      <c r="F23" s="35"/>
      <c r="G23" s="35"/>
      <c r="H23" s="35"/>
      <c r="J23" s="42"/>
      <c r="K23" s="42"/>
      <c r="L23" s="42"/>
      <c r="M23" s="42"/>
      <c r="N23" s="35"/>
      <c r="O23" s="44"/>
      <c r="P23" s="15"/>
      <c r="Q23" s="35"/>
      <c r="R23" s="15"/>
      <c r="U23" s="35"/>
    </row>
    <row r="24" spans="1:23" s="40" customFormat="1" x14ac:dyDescent="0.25">
      <c r="A24" s="15"/>
      <c r="B24" s="35"/>
      <c r="C24" s="35"/>
      <c r="D24" s="35"/>
      <c r="E24" s="15"/>
      <c r="F24" s="35"/>
      <c r="G24" s="35"/>
      <c r="H24" s="35"/>
      <c r="J24" s="42"/>
      <c r="K24" s="42"/>
      <c r="L24" s="42"/>
      <c r="M24" s="42"/>
      <c r="N24" s="35"/>
      <c r="O24" s="44"/>
      <c r="P24" s="15"/>
      <c r="Q24" s="35"/>
      <c r="R24" s="15"/>
      <c r="U24" s="35"/>
    </row>
    <row r="25" spans="1:23" s="40" customFormat="1" x14ac:dyDescent="0.25">
      <c r="A25" s="15"/>
      <c r="B25" s="35"/>
      <c r="C25" s="35"/>
      <c r="D25" s="35"/>
      <c r="E25" s="15"/>
      <c r="F25" s="35"/>
      <c r="G25" s="35"/>
      <c r="H25" s="35"/>
      <c r="J25" s="42"/>
      <c r="K25" s="42"/>
      <c r="L25" s="42"/>
      <c r="M25" s="42"/>
      <c r="N25" s="35"/>
      <c r="O25" s="44"/>
      <c r="P25" s="15"/>
      <c r="Q25" s="35"/>
      <c r="R25" s="15"/>
    </row>
    <row r="26" spans="1:23" s="40" customFormat="1" x14ac:dyDescent="0.25">
      <c r="A26" s="15"/>
      <c r="B26" s="35"/>
      <c r="C26" s="35"/>
      <c r="D26" s="35"/>
      <c r="E26" s="15"/>
      <c r="F26" s="35"/>
      <c r="G26" s="35"/>
      <c r="H26" s="35"/>
      <c r="J26" s="42"/>
      <c r="K26" s="42"/>
      <c r="L26" s="42"/>
      <c r="M26" s="42"/>
      <c r="N26" s="35"/>
      <c r="O26" s="44"/>
      <c r="P26" s="15"/>
      <c r="Q26" s="35"/>
      <c r="R26" s="15"/>
    </row>
    <row r="27" spans="1:23" s="40" customFormat="1" x14ac:dyDescent="0.25">
      <c r="A27" s="15"/>
      <c r="B27" s="35"/>
      <c r="C27" s="35"/>
      <c r="D27" s="35"/>
      <c r="E27" s="15"/>
      <c r="F27" s="35"/>
      <c r="G27" s="35"/>
      <c r="H27" s="35"/>
      <c r="J27" s="42"/>
      <c r="K27" s="42"/>
      <c r="L27" s="42"/>
      <c r="M27" s="42"/>
      <c r="N27" s="35"/>
      <c r="O27" s="44"/>
      <c r="P27" s="15"/>
      <c r="Q27" s="35"/>
      <c r="R27" s="15"/>
    </row>
    <row r="28" spans="1:23" s="40" customFormat="1" x14ac:dyDescent="0.25">
      <c r="A28" s="15"/>
      <c r="B28" s="35"/>
      <c r="C28" s="35"/>
      <c r="D28" s="35"/>
      <c r="E28" s="15"/>
      <c r="F28" s="35"/>
      <c r="G28" s="35"/>
      <c r="H28" s="35"/>
      <c r="J28" s="42"/>
      <c r="K28" s="42"/>
      <c r="L28" s="42"/>
      <c r="M28" s="42"/>
      <c r="N28" s="35"/>
      <c r="O28" s="44"/>
      <c r="P28" s="15"/>
      <c r="Q28" s="35"/>
      <c r="R28" s="15"/>
    </row>
    <row r="29" spans="1:23" s="40" customFormat="1" x14ac:dyDescent="0.25">
      <c r="A29" s="39"/>
      <c r="B29" s="35"/>
      <c r="C29" s="35"/>
      <c r="D29" s="35"/>
      <c r="E29" s="15"/>
      <c r="F29" s="35"/>
      <c r="G29" s="35"/>
      <c r="H29" s="35"/>
      <c r="I29" s="35"/>
      <c r="J29" s="35"/>
      <c r="K29" s="44"/>
      <c r="L29" s="44"/>
      <c r="M29" s="44"/>
      <c r="O29" s="43"/>
      <c r="P29" s="15"/>
      <c r="Q29" s="43"/>
      <c r="R29" s="46"/>
      <c r="S29" s="47"/>
      <c r="T29" s="47"/>
    </row>
    <row r="30" spans="1:23" s="40" customFormat="1" x14ac:dyDescent="0.25">
      <c r="A30" s="39"/>
      <c r="B30" s="35"/>
      <c r="C30" s="35"/>
      <c r="D30" s="35"/>
      <c r="E30" s="15"/>
      <c r="F30" s="35"/>
      <c r="G30" s="35"/>
      <c r="H30" s="35"/>
      <c r="I30" s="35"/>
      <c r="J30" s="48"/>
      <c r="K30" s="44"/>
      <c r="L30" s="44"/>
      <c r="M30" s="44"/>
      <c r="O30" s="43"/>
      <c r="P30" s="15"/>
      <c r="Q30" s="43"/>
      <c r="R30" s="46"/>
      <c r="S30" s="47"/>
      <c r="T30" s="47"/>
    </row>
    <row r="31" spans="1:23" s="40" customFormat="1" x14ac:dyDescent="0.25">
      <c r="A31" s="15"/>
      <c r="B31" s="35"/>
      <c r="C31" s="35"/>
      <c r="D31" s="35"/>
      <c r="E31" s="15"/>
      <c r="F31" s="35"/>
      <c r="G31" s="35"/>
      <c r="H31" s="35"/>
      <c r="I31" s="35"/>
      <c r="J31" s="35"/>
      <c r="K31" s="44"/>
      <c r="L31" s="44"/>
      <c r="M31" s="44"/>
      <c r="O31" s="43"/>
      <c r="P31" s="15"/>
      <c r="Q31" s="43"/>
      <c r="R31" s="46"/>
      <c r="S31" s="47"/>
      <c r="T31" s="47"/>
    </row>
    <row r="32" spans="1:23" s="40" customFormat="1" x14ac:dyDescent="0.25">
      <c r="A32" s="15"/>
      <c r="B32" s="35"/>
      <c r="C32" s="35"/>
      <c r="D32" s="35"/>
      <c r="E32" s="15"/>
      <c r="F32" s="35"/>
      <c r="G32" s="35"/>
      <c r="H32" s="35"/>
      <c r="I32" s="35"/>
      <c r="J32" s="35"/>
      <c r="K32" s="44"/>
      <c r="L32" s="44"/>
      <c r="M32" s="44"/>
      <c r="O32" s="43"/>
      <c r="P32" s="15"/>
      <c r="Q32" s="43"/>
      <c r="R32" s="46"/>
      <c r="S32" s="47"/>
      <c r="T32" s="47"/>
    </row>
    <row r="33" spans="1:24" s="40" customFormat="1" x14ac:dyDescent="0.25">
      <c r="A33" s="15"/>
      <c r="B33" s="35"/>
      <c r="C33" s="35"/>
      <c r="D33" s="35"/>
      <c r="E33" s="15"/>
      <c r="F33" s="35"/>
      <c r="G33" s="35"/>
      <c r="I33" s="42"/>
      <c r="J33" s="42"/>
      <c r="K33" s="42"/>
      <c r="L33" s="42"/>
      <c r="M33" s="42"/>
      <c r="N33" s="35"/>
      <c r="O33" s="44"/>
      <c r="P33" s="15"/>
      <c r="Q33" s="35"/>
      <c r="R33" s="15"/>
      <c r="S33" s="35"/>
      <c r="T33" s="35"/>
      <c r="U33" s="35"/>
      <c r="V33" s="44"/>
      <c r="W33" s="35"/>
    </row>
    <row r="34" spans="1:24" s="40" customFormat="1" x14ac:dyDescent="0.25">
      <c r="A34" s="39"/>
      <c r="B34" s="35"/>
      <c r="C34" s="35"/>
      <c r="D34" s="35"/>
      <c r="E34" s="15"/>
      <c r="F34" s="35"/>
      <c r="G34" s="35"/>
      <c r="J34" s="42"/>
      <c r="K34" s="42"/>
      <c r="L34" s="42"/>
      <c r="M34" s="42"/>
      <c r="N34" s="35"/>
      <c r="O34" s="44"/>
      <c r="P34" s="15"/>
      <c r="Q34" s="35"/>
      <c r="R34" s="15"/>
      <c r="W34" s="35"/>
    </row>
    <row r="35" spans="1:24" s="40" customFormat="1" x14ac:dyDescent="0.25">
      <c r="A35" s="39"/>
      <c r="B35" s="35"/>
      <c r="C35" s="35"/>
      <c r="D35" s="35"/>
      <c r="E35" s="15"/>
      <c r="F35" s="35"/>
      <c r="G35" s="35"/>
      <c r="I35" s="42"/>
      <c r="J35" s="42"/>
      <c r="K35" s="42"/>
      <c r="L35" s="42"/>
      <c r="M35" s="42"/>
      <c r="N35" s="35"/>
      <c r="O35" s="44"/>
      <c r="P35" s="15"/>
      <c r="Q35" s="35"/>
      <c r="R35" s="15"/>
      <c r="W35" s="35"/>
    </row>
    <row r="36" spans="1:24" s="40" customFormat="1" x14ac:dyDescent="0.25">
      <c r="A36" s="39"/>
      <c r="B36" s="35"/>
      <c r="C36" s="35"/>
      <c r="D36" s="35"/>
      <c r="E36" s="15"/>
      <c r="F36" s="35"/>
      <c r="G36" s="35"/>
      <c r="I36" s="42"/>
      <c r="J36" s="42"/>
      <c r="K36" s="42"/>
      <c r="L36" s="42"/>
      <c r="M36" s="42"/>
      <c r="N36" s="35"/>
      <c r="O36" s="44"/>
      <c r="P36" s="15"/>
      <c r="Q36" s="35"/>
      <c r="R36" s="15"/>
      <c r="W36" s="35"/>
    </row>
    <row r="37" spans="1:24" s="40" customFormat="1" x14ac:dyDescent="0.25">
      <c r="A37" s="39"/>
      <c r="B37" s="35"/>
      <c r="C37" s="35"/>
      <c r="D37" s="35"/>
      <c r="E37" s="15"/>
      <c r="F37" s="35"/>
      <c r="G37" s="35"/>
      <c r="H37" s="35"/>
      <c r="I37" s="42"/>
      <c r="J37" s="42"/>
      <c r="K37" s="42"/>
      <c r="L37" s="42"/>
      <c r="M37" s="42"/>
      <c r="N37" s="35"/>
      <c r="O37" s="44"/>
      <c r="P37" s="15"/>
      <c r="Q37" s="35"/>
      <c r="R37" s="15"/>
      <c r="W37" s="35"/>
    </row>
    <row r="38" spans="1:24" s="40" customFormat="1" x14ac:dyDescent="0.25">
      <c r="A38" s="39"/>
      <c r="B38" s="35"/>
      <c r="C38" s="35"/>
      <c r="D38" s="35"/>
      <c r="E38" s="15"/>
      <c r="F38" s="35"/>
      <c r="G38" s="35"/>
      <c r="I38" s="42"/>
      <c r="J38" s="42"/>
      <c r="K38" s="42"/>
      <c r="L38" s="42"/>
      <c r="M38" s="42"/>
      <c r="N38" s="35"/>
      <c r="R38" s="15"/>
      <c r="W38" s="35"/>
    </row>
    <row r="39" spans="1:24" s="40" customFormat="1" x14ac:dyDescent="0.25">
      <c r="A39" s="39"/>
      <c r="B39" s="35"/>
      <c r="C39" s="35"/>
      <c r="D39" s="35"/>
      <c r="E39" s="15"/>
      <c r="F39" s="35"/>
      <c r="G39" s="35"/>
      <c r="H39" s="35"/>
      <c r="I39" s="42"/>
      <c r="J39" s="42"/>
      <c r="K39" s="42"/>
      <c r="L39" s="42"/>
      <c r="M39" s="42"/>
      <c r="N39" s="35"/>
      <c r="O39" s="44"/>
      <c r="P39" s="15"/>
      <c r="Q39" s="35"/>
      <c r="R39" s="15"/>
      <c r="W39" s="35"/>
    </row>
    <row r="40" spans="1:24" s="40" customFormat="1" x14ac:dyDescent="0.25">
      <c r="A40" s="15"/>
      <c r="B40" s="35"/>
      <c r="C40" s="35"/>
      <c r="D40" s="35"/>
      <c r="E40" s="15"/>
      <c r="F40" s="35"/>
      <c r="G40" s="35"/>
      <c r="J40" s="42"/>
      <c r="K40" s="42"/>
      <c r="L40" s="42"/>
      <c r="M40" s="42"/>
      <c r="N40" s="35"/>
      <c r="O40" s="44"/>
      <c r="P40" s="15"/>
      <c r="Q40" s="35"/>
      <c r="R40" s="15"/>
      <c r="W40" s="35"/>
      <c r="X40" s="35"/>
    </row>
    <row r="41" spans="1:24" s="40" customFormat="1" x14ac:dyDescent="0.25">
      <c r="A41" s="39"/>
      <c r="B41" s="35"/>
      <c r="C41" s="35"/>
      <c r="D41" s="35"/>
      <c r="E41" s="15"/>
      <c r="F41" s="35"/>
      <c r="G41" s="35"/>
      <c r="H41" s="35"/>
      <c r="J41" s="42"/>
      <c r="K41" s="42"/>
      <c r="L41" s="42"/>
      <c r="M41" s="42"/>
      <c r="N41" s="35"/>
      <c r="O41" s="44"/>
      <c r="P41" s="15"/>
      <c r="Q41" s="35"/>
      <c r="R41" s="15"/>
      <c r="V41" s="44"/>
      <c r="W41" s="35"/>
      <c r="X41" s="35"/>
    </row>
    <row r="42" spans="1:24" s="40" customFormat="1" x14ac:dyDescent="0.25">
      <c r="A42" s="15"/>
      <c r="B42" s="35"/>
      <c r="C42" s="35"/>
      <c r="D42" s="35"/>
      <c r="E42" s="15"/>
      <c r="F42" s="35"/>
      <c r="G42" s="35"/>
      <c r="H42" s="35"/>
      <c r="I42" s="42"/>
      <c r="J42" s="42"/>
      <c r="K42" s="42"/>
      <c r="L42" s="42"/>
      <c r="M42" s="42"/>
      <c r="N42" s="35"/>
      <c r="O42" s="44"/>
      <c r="P42" s="15"/>
      <c r="Q42" s="35"/>
      <c r="R42" s="15"/>
      <c r="V42" s="44"/>
      <c r="W42" s="35"/>
      <c r="X42" s="35"/>
    </row>
    <row r="43" spans="1:24" s="40" customFormat="1" x14ac:dyDescent="0.25">
      <c r="A43" s="15"/>
      <c r="B43" s="35"/>
      <c r="C43" s="35"/>
      <c r="D43" s="35"/>
      <c r="E43" s="15"/>
      <c r="F43" s="35"/>
      <c r="G43" s="35"/>
      <c r="H43" s="35"/>
      <c r="I43" s="42"/>
      <c r="J43" s="42"/>
      <c r="K43" s="42"/>
      <c r="L43" s="42"/>
      <c r="M43" s="42"/>
      <c r="N43" s="35"/>
      <c r="O43" s="44"/>
      <c r="P43" s="15"/>
      <c r="Q43" s="35"/>
      <c r="R43" s="15"/>
      <c r="V43" s="44"/>
      <c r="W43" s="35"/>
      <c r="X43" s="35"/>
    </row>
    <row r="44" spans="1:24" s="40" customFormat="1" x14ac:dyDescent="0.25">
      <c r="A44" s="15"/>
      <c r="B44" s="35"/>
      <c r="C44" s="35"/>
      <c r="D44" s="35"/>
      <c r="E44" s="15"/>
      <c r="F44" s="35"/>
      <c r="G44" s="35"/>
      <c r="H44" s="35"/>
      <c r="I44" s="42"/>
      <c r="J44" s="42"/>
      <c r="K44" s="42"/>
      <c r="L44" s="42"/>
      <c r="M44" s="42"/>
      <c r="N44" s="35"/>
      <c r="O44" s="44"/>
      <c r="P44" s="15"/>
      <c r="Q44" s="35"/>
      <c r="R44" s="15"/>
      <c r="V44" s="44"/>
      <c r="W44" s="35"/>
      <c r="X44" s="35"/>
    </row>
    <row r="45" spans="1:24" s="40" customFormat="1" x14ac:dyDescent="0.25">
      <c r="A45" s="15"/>
      <c r="B45" s="35"/>
      <c r="C45" s="35"/>
      <c r="D45" s="35"/>
      <c r="E45" s="15"/>
      <c r="F45" s="35"/>
      <c r="G45" s="35"/>
      <c r="J45" s="42"/>
      <c r="K45" s="42"/>
      <c r="L45" s="42"/>
      <c r="M45" s="42"/>
      <c r="N45" s="35"/>
      <c r="O45" s="44"/>
      <c r="P45" s="15"/>
      <c r="Q45" s="35"/>
      <c r="R45" s="15"/>
      <c r="V45" s="44"/>
    </row>
    <row r="46" spans="1:24" s="40" customFormat="1" x14ac:dyDescent="0.25">
      <c r="A46" s="15"/>
      <c r="B46" s="35"/>
      <c r="C46" s="35"/>
      <c r="D46" s="35"/>
      <c r="E46" s="15"/>
      <c r="F46" s="35"/>
      <c r="G46" s="35"/>
      <c r="H46" s="35"/>
      <c r="J46" s="42"/>
      <c r="K46" s="42"/>
      <c r="L46" s="42"/>
      <c r="M46" s="42"/>
      <c r="N46" s="35"/>
      <c r="O46" s="44"/>
      <c r="P46" s="15"/>
      <c r="Q46" s="35"/>
      <c r="R46" s="15"/>
      <c r="U46" s="35"/>
      <c r="V46" s="44"/>
    </row>
    <row r="47" spans="1:24" s="40" customFormat="1" x14ac:dyDescent="0.25">
      <c r="A47" s="15"/>
      <c r="B47" s="35"/>
      <c r="C47" s="35"/>
      <c r="D47" s="35"/>
      <c r="E47" s="15"/>
      <c r="F47" s="35"/>
      <c r="G47" s="35"/>
      <c r="H47" s="35"/>
      <c r="J47" s="42"/>
      <c r="K47" s="42"/>
      <c r="L47" s="42"/>
      <c r="M47" s="42"/>
      <c r="N47" s="35"/>
      <c r="O47" s="44"/>
      <c r="P47" s="15"/>
      <c r="Q47" s="35"/>
      <c r="R47" s="15"/>
      <c r="U47" s="35"/>
      <c r="V47" s="44"/>
    </row>
    <row r="48" spans="1:24" s="40" customFormat="1" x14ac:dyDescent="0.25">
      <c r="A48" s="15"/>
      <c r="B48" s="35"/>
      <c r="C48" s="35"/>
      <c r="D48" s="35"/>
      <c r="E48" s="15"/>
      <c r="F48" s="35"/>
      <c r="G48" s="35"/>
      <c r="H48" s="35"/>
      <c r="J48" s="42"/>
      <c r="K48" s="42"/>
      <c r="L48" s="42"/>
      <c r="M48" s="42"/>
      <c r="N48" s="35"/>
      <c r="O48" s="44"/>
      <c r="P48" s="15"/>
      <c r="Q48" s="35"/>
      <c r="R48" s="15"/>
      <c r="U48" s="35"/>
      <c r="V48" s="44"/>
    </row>
    <row r="49" spans="1:24" s="40" customFormat="1" x14ac:dyDescent="0.25">
      <c r="A49" s="15"/>
      <c r="B49" s="35"/>
      <c r="C49" s="35"/>
      <c r="D49" s="35"/>
      <c r="E49" s="15"/>
      <c r="F49" s="35"/>
      <c r="G49" s="35"/>
      <c r="H49" s="35"/>
      <c r="J49" s="42"/>
      <c r="K49" s="42"/>
      <c r="L49" s="42"/>
      <c r="M49" s="42"/>
      <c r="N49" s="35"/>
      <c r="O49" s="44"/>
      <c r="P49" s="15"/>
      <c r="Q49" s="35"/>
      <c r="R49" s="15"/>
      <c r="U49" s="35"/>
      <c r="V49" s="44"/>
    </row>
    <row r="50" spans="1:24" s="40" customFormat="1" x14ac:dyDescent="0.25">
      <c r="A50" s="15"/>
      <c r="B50" s="35"/>
      <c r="C50" s="35"/>
      <c r="D50" s="35"/>
      <c r="E50" s="15"/>
      <c r="F50" s="35"/>
      <c r="G50" s="35"/>
      <c r="H50" s="35"/>
      <c r="J50" s="42"/>
      <c r="K50" s="42"/>
      <c r="L50" s="42"/>
      <c r="M50" s="42"/>
      <c r="N50" s="35"/>
      <c r="O50" s="44"/>
      <c r="P50" s="15"/>
      <c r="Q50" s="35"/>
      <c r="R50" s="15"/>
      <c r="U50" s="35"/>
      <c r="V50" s="44"/>
    </row>
    <row r="51" spans="1:24" s="40" customFormat="1" x14ac:dyDescent="0.25">
      <c r="A51" s="15"/>
      <c r="B51" s="35"/>
      <c r="C51" s="35"/>
      <c r="D51" s="35"/>
      <c r="E51" s="15"/>
      <c r="F51" s="35"/>
      <c r="G51" s="35"/>
      <c r="H51" s="35"/>
      <c r="J51" s="42"/>
      <c r="K51" s="42"/>
      <c r="L51" s="42"/>
      <c r="M51" s="42"/>
      <c r="N51" s="35"/>
      <c r="O51" s="44"/>
      <c r="P51" s="15"/>
      <c r="Q51" s="35"/>
      <c r="R51" s="15"/>
      <c r="U51" s="35"/>
      <c r="V51" s="44"/>
    </row>
    <row r="52" spans="1:24" s="40" customFormat="1" x14ac:dyDescent="0.25">
      <c r="A52" s="39"/>
      <c r="B52" s="35"/>
      <c r="C52" s="35"/>
      <c r="D52" s="35"/>
      <c r="E52" s="15"/>
      <c r="F52" s="35"/>
      <c r="G52" s="35"/>
      <c r="J52" s="42"/>
      <c r="K52" s="42"/>
      <c r="L52" s="42"/>
      <c r="M52" s="42"/>
      <c r="N52" s="35"/>
      <c r="O52" s="44"/>
      <c r="P52" s="15"/>
      <c r="Q52" s="35"/>
      <c r="R52" s="15"/>
    </row>
    <row r="53" spans="1:24" s="40" customFormat="1" x14ac:dyDescent="0.25">
      <c r="A53" s="39"/>
      <c r="B53" s="35"/>
      <c r="C53" s="35"/>
      <c r="D53" s="35"/>
      <c r="E53" s="15"/>
      <c r="F53" s="35"/>
      <c r="G53" s="35"/>
      <c r="H53" s="35"/>
      <c r="J53" s="42"/>
      <c r="K53" s="42"/>
      <c r="L53" s="42"/>
      <c r="M53" s="42"/>
      <c r="N53" s="35"/>
      <c r="O53" s="44"/>
      <c r="P53" s="15"/>
      <c r="Q53" s="35"/>
      <c r="R53" s="15"/>
      <c r="U53" s="35"/>
    </row>
    <row r="54" spans="1:24" s="40" customFormat="1" x14ac:dyDescent="0.25">
      <c r="A54" s="15"/>
      <c r="B54" s="35"/>
      <c r="C54" s="35"/>
      <c r="D54" s="35"/>
      <c r="E54" s="15"/>
      <c r="F54" s="35"/>
      <c r="G54" s="35"/>
      <c r="H54" s="35"/>
      <c r="J54" s="42"/>
      <c r="K54" s="42"/>
      <c r="L54" s="42"/>
      <c r="M54" s="42"/>
      <c r="N54" s="35"/>
      <c r="O54" s="44"/>
      <c r="P54" s="15"/>
      <c r="Q54" s="35"/>
      <c r="R54" s="15"/>
      <c r="U54" s="35"/>
      <c r="V54" s="44"/>
    </row>
    <row r="55" spans="1:24" s="40" customFormat="1" x14ac:dyDescent="0.25">
      <c r="A55" s="15"/>
      <c r="B55" s="35"/>
      <c r="C55" s="35"/>
      <c r="D55" s="35"/>
      <c r="E55" s="15"/>
      <c r="F55" s="35"/>
      <c r="G55" s="35"/>
      <c r="H55" s="35"/>
      <c r="J55" s="42"/>
      <c r="K55" s="42"/>
      <c r="L55" s="42"/>
      <c r="M55" s="42"/>
      <c r="N55" s="35"/>
      <c r="O55" s="44"/>
      <c r="P55" s="15"/>
      <c r="Q55" s="35"/>
      <c r="R55" s="15"/>
      <c r="U55" s="35"/>
      <c r="V55" s="44"/>
    </row>
    <row r="56" spans="1:24" s="40" customFormat="1" x14ac:dyDescent="0.25">
      <c r="A56" s="15"/>
      <c r="B56" s="35"/>
      <c r="C56" s="35"/>
      <c r="D56" s="35"/>
      <c r="E56" s="15"/>
      <c r="F56" s="35"/>
      <c r="G56" s="35"/>
      <c r="H56" s="35"/>
      <c r="J56" s="42"/>
      <c r="K56" s="42"/>
      <c r="L56" s="42"/>
      <c r="M56" s="42"/>
      <c r="N56" s="35"/>
      <c r="O56" s="44"/>
      <c r="P56" s="15"/>
      <c r="Q56" s="35"/>
      <c r="R56" s="15"/>
      <c r="U56" s="35"/>
      <c r="V56" s="44"/>
    </row>
    <row r="57" spans="1:24" s="40" customFormat="1" x14ac:dyDescent="0.25">
      <c r="A57" s="15"/>
      <c r="B57" s="35"/>
      <c r="C57" s="35"/>
      <c r="D57" s="35"/>
      <c r="E57" s="15"/>
      <c r="F57" s="35"/>
      <c r="G57" s="35"/>
      <c r="H57" s="35"/>
      <c r="J57" s="42"/>
      <c r="K57" s="42"/>
      <c r="L57" s="42"/>
      <c r="M57" s="42"/>
      <c r="N57" s="35"/>
      <c r="O57" s="44"/>
      <c r="P57" s="15"/>
      <c r="Q57" s="35"/>
      <c r="R57" s="15"/>
      <c r="V57" s="44"/>
    </row>
    <row r="58" spans="1:24" s="40" customFormat="1" x14ac:dyDescent="0.25">
      <c r="A58" s="15"/>
      <c r="B58" s="35"/>
      <c r="C58" s="35"/>
      <c r="D58" s="35"/>
      <c r="E58" s="15"/>
      <c r="F58" s="35"/>
      <c r="G58" s="35"/>
      <c r="J58" s="42"/>
      <c r="K58" s="42"/>
      <c r="L58" s="42"/>
      <c r="M58" s="42"/>
      <c r="N58" s="35"/>
      <c r="O58" s="44"/>
      <c r="P58" s="15"/>
      <c r="Q58" s="35"/>
      <c r="R58" s="15"/>
      <c r="V58" s="44"/>
    </row>
    <row r="59" spans="1:24" s="40" customFormat="1" x14ac:dyDescent="0.25">
      <c r="A59" s="39"/>
      <c r="B59" s="35"/>
      <c r="C59" s="35"/>
      <c r="D59" s="35"/>
      <c r="E59" s="15"/>
      <c r="F59" s="35"/>
      <c r="G59" s="35"/>
      <c r="J59" s="42"/>
      <c r="K59" s="42"/>
      <c r="L59" s="42"/>
      <c r="M59" s="42"/>
      <c r="N59" s="35"/>
      <c r="O59" s="44"/>
      <c r="P59" s="15"/>
      <c r="Q59" s="35"/>
      <c r="R59" s="15"/>
      <c r="V59" s="44"/>
    </row>
    <row r="60" spans="1:24" s="40" customFormat="1" x14ac:dyDescent="0.25">
      <c r="A60" s="39"/>
      <c r="B60" s="35"/>
      <c r="C60" s="35"/>
      <c r="D60" s="35"/>
      <c r="E60" s="15"/>
      <c r="F60" s="35"/>
      <c r="G60" s="35"/>
      <c r="H60" s="35"/>
      <c r="I60" s="42"/>
      <c r="J60" s="42"/>
      <c r="K60" s="42"/>
      <c r="L60" s="42"/>
      <c r="M60" s="42"/>
      <c r="N60" s="35"/>
      <c r="O60" s="44"/>
      <c r="P60" s="15"/>
      <c r="Q60" s="35"/>
      <c r="R60" s="15"/>
      <c r="W60" s="35"/>
      <c r="X60" s="35"/>
    </row>
    <row r="61" spans="1:24" s="40" customFormat="1" x14ac:dyDescent="0.25">
      <c r="A61" s="15"/>
      <c r="B61" s="35"/>
      <c r="C61" s="35"/>
      <c r="D61" s="35"/>
      <c r="E61" s="15"/>
      <c r="F61" s="35"/>
      <c r="G61" s="35"/>
      <c r="H61" s="35"/>
      <c r="I61" s="42"/>
      <c r="J61" s="42"/>
      <c r="K61" s="42"/>
      <c r="L61" s="42"/>
      <c r="M61" s="42"/>
      <c r="N61" s="35"/>
      <c r="O61" s="44"/>
      <c r="P61" s="15"/>
      <c r="Q61" s="35"/>
      <c r="R61" s="15"/>
      <c r="V61" s="44"/>
      <c r="X61" s="35"/>
    </row>
    <row r="62" spans="1:24" s="40" customFormat="1" x14ac:dyDescent="0.25">
      <c r="A62" s="15"/>
      <c r="B62" s="35"/>
      <c r="C62" s="35"/>
      <c r="D62" s="35"/>
      <c r="E62" s="15"/>
      <c r="F62" s="35"/>
      <c r="G62" s="35"/>
      <c r="J62" s="42"/>
      <c r="K62" s="42"/>
      <c r="L62" s="42"/>
      <c r="M62" s="42"/>
      <c r="N62" s="35"/>
      <c r="O62" s="44"/>
      <c r="P62" s="15"/>
      <c r="Q62" s="35"/>
      <c r="R62" s="15"/>
    </row>
    <row r="63" spans="1:24" s="40" customFormat="1" x14ac:dyDescent="0.25">
      <c r="A63" s="39"/>
      <c r="B63" s="35"/>
      <c r="C63" s="35"/>
      <c r="D63" s="35"/>
      <c r="E63" s="15"/>
      <c r="F63" s="35"/>
      <c r="G63" s="35"/>
      <c r="J63" s="42"/>
      <c r="K63" s="42"/>
      <c r="L63" s="42"/>
      <c r="M63" s="42"/>
      <c r="N63" s="35"/>
      <c r="O63" s="44"/>
      <c r="P63" s="15"/>
      <c r="Q63" s="35"/>
      <c r="R63" s="15"/>
    </row>
    <row r="64" spans="1:24" s="40" customFormat="1" x14ac:dyDescent="0.25">
      <c r="A64" s="15"/>
      <c r="B64" s="35"/>
      <c r="C64" s="35"/>
      <c r="D64" s="35"/>
      <c r="E64" s="15"/>
      <c r="F64" s="35"/>
      <c r="G64" s="35"/>
      <c r="H64" s="35"/>
      <c r="I64" s="35"/>
      <c r="J64" s="42"/>
      <c r="K64" s="42"/>
      <c r="L64" s="42"/>
      <c r="M64" s="42"/>
      <c r="N64" s="35"/>
      <c r="O64" s="44"/>
      <c r="P64" s="15"/>
      <c r="Q64" s="35"/>
      <c r="R64" s="15"/>
      <c r="V64" s="44"/>
    </row>
    <row r="65" spans="1:21" s="40" customFormat="1" x14ac:dyDescent="0.25">
      <c r="A65" s="15"/>
      <c r="B65" s="35"/>
      <c r="C65" s="35"/>
      <c r="D65" s="35"/>
      <c r="E65" s="15"/>
      <c r="F65" s="35"/>
      <c r="G65" s="35"/>
      <c r="H65" s="35"/>
      <c r="I65" s="35"/>
      <c r="J65" s="42"/>
      <c r="K65" s="42"/>
      <c r="L65" s="42"/>
      <c r="M65" s="42"/>
      <c r="N65" s="35"/>
      <c r="O65" s="44"/>
      <c r="P65" s="15"/>
      <c r="Q65" s="35"/>
      <c r="R65" s="15"/>
    </row>
    <row r="66" spans="1:21" s="40" customFormat="1" x14ac:dyDescent="0.25">
      <c r="A66" s="39"/>
      <c r="B66" s="35"/>
      <c r="C66" s="35"/>
      <c r="D66" s="35"/>
      <c r="E66" s="15"/>
      <c r="F66" s="35"/>
      <c r="G66" s="35"/>
      <c r="H66" s="35"/>
      <c r="I66" s="35"/>
      <c r="J66" s="42"/>
      <c r="K66" s="42"/>
      <c r="L66" s="42"/>
      <c r="M66" s="42"/>
      <c r="N66" s="35"/>
      <c r="O66" s="44"/>
      <c r="P66" s="15"/>
      <c r="Q66" s="35"/>
      <c r="R66" s="15"/>
    </row>
    <row r="67" spans="1:21" s="40" customFormat="1" x14ac:dyDescent="0.25">
      <c r="A67" s="15"/>
      <c r="B67" s="35"/>
      <c r="C67" s="35"/>
      <c r="D67" s="35"/>
      <c r="E67" s="15"/>
      <c r="F67" s="35"/>
      <c r="G67" s="35"/>
      <c r="H67" s="35"/>
      <c r="I67" s="35"/>
      <c r="J67" s="42"/>
      <c r="K67" s="42"/>
      <c r="L67" s="42"/>
      <c r="M67" s="42"/>
      <c r="N67" s="35"/>
      <c r="O67" s="44"/>
      <c r="P67" s="15"/>
      <c r="Q67" s="35"/>
      <c r="R67" s="15"/>
      <c r="S67" s="35"/>
      <c r="T67" s="35"/>
      <c r="U67" s="35"/>
    </row>
    <row r="68" spans="1:21" s="40" customFormat="1" x14ac:dyDescent="0.25">
      <c r="A68" s="15"/>
      <c r="B68" s="35"/>
      <c r="C68" s="35"/>
      <c r="D68" s="35"/>
      <c r="E68" s="15"/>
      <c r="F68" s="35"/>
      <c r="G68" s="35"/>
      <c r="H68" s="35"/>
      <c r="I68" s="35"/>
      <c r="J68" s="42"/>
      <c r="K68" s="49"/>
      <c r="L68" s="49"/>
      <c r="M68" s="49"/>
      <c r="N68" s="35"/>
      <c r="O68" s="44"/>
      <c r="P68" s="15"/>
      <c r="Q68" s="35"/>
      <c r="R68" s="15"/>
      <c r="S68" s="35"/>
      <c r="T68" s="35"/>
      <c r="U68" s="35"/>
    </row>
    <row r="69" spans="1:21" s="40" customFormat="1" x14ac:dyDescent="0.25">
      <c r="A69" s="15"/>
      <c r="B69" s="35"/>
      <c r="C69" s="35"/>
      <c r="D69" s="35"/>
      <c r="E69" s="15"/>
      <c r="F69" s="35"/>
      <c r="G69" s="35"/>
      <c r="H69" s="35"/>
      <c r="I69" s="35"/>
      <c r="J69" s="42"/>
      <c r="K69" s="49"/>
      <c r="L69" s="49"/>
      <c r="M69" s="49"/>
      <c r="N69" s="35"/>
      <c r="O69" s="44"/>
      <c r="P69" s="15"/>
      <c r="Q69" s="35"/>
      <c r="R69" s="15"/>
      <c r="S69" s="35"/>
      <c r="T69" s="35"/>
      <c r="U69" s="35"/>
    </row>
    <row r="70" spans="1:21" s="40" customFormat="1" x14ac:dyDescent="0.25">
      <c r="A70" s="15"/>
      <c r="B70" s="35"/>
      <c r="C70" s="35"/>
      <c r="D70" s="35"/>
      <c r="E70" s="15"/>
      <c r="F70" s="35"/>
      <c r="G70" s="35"/>
      <c r="H70" s="35"/>
      <c r="N70" s="35"/>
      <c r="O70" s="43"/>
      <c r="P70" s="15"/>
      <c r="Q70" s="35"/>
      <c r="R70" s="15"/>
    </row>
    <row r="71" spans="1:21" s="40" customFormat="1" x14ac:dyDescent="0.25">
      <c r="A71" s="41"/>
      <c r="E71" s="15"/>
      <c r="P71" s="15"/>
      <c r="Q71" s="35"/>
      <c r="R71" s="15"/>
    </row>
    <row r="72" spans="1:21" s="40" customFormat="1" x14ac:dyDescent="0.25">
      <c r="E72" s="15"/>
      <c r="J72" s="42"/>
      <c r="O72" s="44"/>
      <c r="P72" s="15"/>
      <c r="Q72" s="35"/>
      <c r="R72" s="15"/>
    </row>
    <row r="73" spans="1:21" s="40" customFormat="1" x14ac:dyDescent="0.25">
      <c r="E73" s="15"/>
      <c r="P73" s="15"/>
      <c r="Q73" s="35"/>
      <c r="R73" s="15"/>
    </row>
    <row r="74" spans="1:21" s="40" customFormat="1" x14ac:dyDescent="0.25">
      <c r="A74" s="15"/>
      <c r="E74" s="15"/>
      <c r="P74" s="15"/>
      <c r="Q74" s="35"/>
      <c r="R74" s="15"/>
    </row>
    <row r="75" spans="1:21" s="40" customFormat="1" x14ac:dyDescent="0.25">
      <c r="A75" s="39"/>
      <c r="B75" s="35"/>
      <c r="C75" s="35"/>
      <c r="D75" s="35"/>
      <c r="E75" s="15"/>
      <c r="F75" s="35"/>
      <c r="G75" s="35"/>
      <c r="H75" s="35"/>
      <c r="I75" s="35"/>
      <c r="J75" s="48"/>
      <c r="K75" s="44"/>
      <c r="L75" s="44"/>
      <c r="M75" s="44"/>
      <c r="O75" s="43"/>
      <c r="P75" s="15"/>
      <c r="Q75" s="43"/>
      <c r="R75" s="46"/>
      <c r="S75" s="47"/>
      <c r="T75" s="47"/>
    </row>
    <row r="76" spans="1:21" s="40" customFormat="1" x14ac:dyDescent="0.25">
      <c r="E76" s="15"/>
      <c r="P76" s="15"/>
      <c r="Q76" s="35"/>
      <c r="R76" s="15"/>
    </row>
    <row r="77" spans="1:21" s="40" customFormat="1" x14ac:dyDescent="0.25">
      <c r="A77" s="41"/>
      <c r="E77" s="15"/>
      <c r="P77" s="15"/>
      <c r="Q77" s="35"/>
      <c r="R77" s="15"/>
    </row>
    <row r="78" spans="1:21" s="40" customFormat="1" x14ac:dyDescent="0.25">
      <c r="B78" s="35"/>
      <c r="C78" s="35"/>
      <c r="D78" s="35"/>
      <c r="E78" s="15"/>
      <c r="F78" s="35"/>
      <c r="G78" s="35"/>
      <c r="H78" s="35"/>
      <c r="I78" s="35"/>
      <c r="J78" s="42"/>
      <c r="K78" s="49"/>
      <c r="L78" s="49"/>
      <c r="M78" s="49"/>
      <c r="N78" s="35"/>
      <c r="O78" s="44"/>
      <c r="P78" s="15"/>
      <c r="Q78" s="35"/>
      <c r="R78" s="15"/>
    </row>
    <row r="79" spans="1:21" s="40" customFormat="1" x14ac:dyDescent="0.25">
      <c r="A79" s="15"/>
      <c r="B79" s="35"/>
      <c r="C79" s="35"/>
      <c r="D79" s="35"/>
      <c r="E79" s="15"/>
      <c r="F79" s="35"/>
      <c r="G79" s="35"/>
      <c r="H79" s="35"/>
      <c r="I79" s="35"/>
      <c r="J79" s="42"/>
      <c r="K79" s="49"/>
      <c r="L79" s="49"/>
      <c r="M79" s="49"/>
      <c r="N79" s="35"/>
      <c r="O79" s="44"/>
      <c r="P79" s="15"/>
      <c r="Q79" s="35"/>
      <c r="R79" s="15"/>
    </row>
    <row r="80" spans="1:21" s="40" customFormat="1" x14ac:dyDescent="0.25">
      <c r="E80" s="15"/>
      <c r="P80" s="15"/>
      <c r="Q80" s="35"/>
      <c r="R80" s="15"/>
    </row>
    <row r="81" spans="1:20" s="40" customFormat="1" x14ac:dyDescent="0.25">
      <c r="A81" s="39"/>
      <c r="B81" s="35"/>
      <c r="C81" s="35"/>
      <c r="D81" s="35"/>
      <c r="E81" s="15"/>
      <c r="N81" s="35"/>
      <c r="O81" s="35"/>
      <c r="P81" s="15"/>
      <c r="Q81" s="35"/>
      <c r="R81" s="15"/>
    </row>
    <row r="82" spans="1:20" s="40" customFormat="1" x14ac:dyDescent="0.25">
      <c r="A82" s="15"/>
      <c r="B82" s="35"/>
      <c r="C82" s="35"/>
      <c r="D82" s="35"/>
      <c r="E82" s="15"/>
      <c r="F82" s="35"/>
      <c r="G82" s="35"/>
      <c r="H82" s="35"/>
      <c r="I82" s="35"/>
      <c r="J82" s="42"/>
      <c r="K82" s="49"/>
      <c r="L82" s="49"/>
      <c r="M82" s="49"/>
      <c r="N82" s="35"/>
      <c r="O82" s="44"/>
      <c r="P82" s="15"/>
      <c r="Q82" s="35"/>
      <c r="R82" s="15"/>
    </row>
    <row r="83" spans="1:20" s="40" customFormat="1" x14ac:dyDescent="0.25">
      <c r="A83" s="15"/>
      <c r="B83" s="35"/>
      <c r="C83" s="35"/>
      <c r="D83" s="35"/>
      <c r="E83" s="15"/>
      <c r="F83" s="35"/>
      <c r="G83" s="35"/>
      <c r="H83" s="35"/>
      <c r="I83" s="35"/>
      <c r="J83" s="42"/>
      <c r="K83" s="49"/>
      <c r="L83" s="49"/>
      <c r="M83" s="49"/>
      <c r="N83" s="35"/>
      <c r="O83" s="44"/>
      <c r="P83" s="15"/>
      <c r="Q83" s="35"/>
      <c r="R83" s="15"/>
    </row>
    <row r="84" spans="1:20" s="40" customFormat="1" x14ac:dyDescent="0.25">
      <c r="A84" s="15"/>
      <c r="B84" s="35"/>
      <c r="C84" s="35"/>
      <c r="D84" s="35"/>
      <c r="E84" s="15"/>
      <c r="F84" s="35"/>
      <c r="G84" s="35"/>
      <c r="H84" s="35"/>
      <c r="I84" s="35"/>
      <c r="J84" s="42"/>
      <c r="K84" s="49"/>
      <c r="L84" s="49"/>
      <c r="M84" s="49"/>
      <c r="N84" s="35"/>
      <c r="O84" s="44"/>
      <c r="P84" s="15"/>
      <c r="Q84" s="35"/>
      <c r="R84" s="15"/>
    </row>
    <row r="85" spans="1:20" s="40" customFormat="1" x14ac:dyDescent="0.25">
      <c r="A85" s="15"/>
      <c r="B85" s="35"/>
      <c r="C85" s="35"/>
      <c r="D85" s="35"/>
      <c r="E85" s="15"/>
      <c r="F85" s="35"/>
      <c r="G85" s="35"/>
      <c r="H85" s="35"/>
      <c r="I85" s="35"/>
      <c r="J85" s="42"/>
      <c r="K85" s="49"/>
      <c r="L85" s="49"/>
      <c r="M85" s="49"/>
      <c r="N85" s="35"/>
      <c r="O85" s="44"/>
      <c r="P85" s="15"/>
      <c r="Q85" s="35"/>
      <c r="R85" s="15"/>
    </row>
    <row r="86" spans="1:20" s="40" customFormat="1" x14ac:dyDescent="0.25">
      <c r="A86" s="50"/>
      <c r="B86" s="35"/>
      <c r="C86" s="35"/>
      <c r="D86" s="35"/>
      <c r="E86" s="15"/>
      <c r="F86" s="35"/>
      <c r="G86" s="35"/>
      <c r="H86" s="35"/>
      <c r="I86" s="35"/>
      <c r="J86" s="48"/>
      <c r="K86" s="44"/>
      <c r="L86" s="44"/>
      <c r="M86" s="44"/>
      <c r="O86" s="43"/>
      <c r="P86" s="15"/>
      <c r="Q86" s="43"/>
      <c r="R86" s="46"/>
      <c r="T86" s="47"/>
    </row>
    <row r="87" spans="1:20" s="40" customFormat="1" x14ac:dyDescent="0.25">
      <c r="A87" s="50"/>
      <c r="B87" s="35"/>
      <c r="C87" s="35"/>
      <c r="D87" s="35"/>
      <c r="E87" s="15"/>
      <c r="F87" s="35"/>
      <c r="G87" s="35"/>
      <c r="H87" s="35"/>
      <c r="I87" s="35"/>
      <c r="J87" s="48"/>
      <c r="K87" s="44"/>
      <c r="L87" s="44"/>
      <c r="M87" s="44"/>
      <c r="O87" s="43"/>
      <c r="P87" s="15"/>
      <c r="Q87" s="43"/>
      <c r="R87" s="46"/>
      <c r="S87" s="47"/>
      <c r="T87" s="47"/>
    </row>
    <row r="88" spans="1:20" s="40" customFormat="1" x14ac:dyDescent="0.25">
      <c r="A88" s="42"/>
      <c r="B88" s="35"/>
      <c r="C88" s="35"/>
      <c r="D88" s="35"/>
      <c r="E88" s="15"/>
      <c r="F88" s="35"/>
      <c r="G88" s="35"/>
      <c r="H88" s="35"/>
      <c r="I88" s="35"/>
      <c r="J88" s="48"/>
      <c r="K88" s="44"/>
      <c r="L88" s="44"/>
      <c r="M88" s="44"/>
      <c r="O88" s="43"/>
      <c r="P88" s="15"/>
      <c r="Q88" s="43"/>
      <c r="R88" s="46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099DE-69DA-496C-8376-9BFCA5F25F37}">
  <sheetPr codeName="Sheet3"/>
  <dimension ref="A1:X124"/>
  <sheetViews>
    <sheetView workbookViewId="0">
      <pane xSplit="1" ySplit="2" topLeftCell="T84" activePane="bottomRight" state="frozen"/>
      <selection pane="topRight" activeCell="B1" sqref="B1"/>
      <selection pane="bottomLeft" activeCell="A3" sqref="A3"/>
      <selection pane="bottomRight" activeCell="T93" sqref="T93"/>
    </sheetView>
  </sheetViews>
  <sheetFormatPr defaultRowHeight="15" x14ac:dyDescent="0.25"/>
  <cols>
    <col min="1" max="1" width="18.140625" customWidth="1"/>
    <col min="2" max="2" width="11.85546875" customWidth="1"/>
    <col min="3" max="3" width="12.42578125" bestFit="1" customWidth="1"/>
    <col min="4" max="4" width="12.5703125" bestFit="1" customWidth="1"/>
    <col min="5" max="5" width="10.28515625" bestFit="1" customWidth="1"/>
    <col min="6" max="6" width="8.28515625" customWidth="1"/>
    <col min="7" max="7" width="8.140625" customWidth="1"/>
    <col min="8" max="8" width="14.85546875" bestFit="1" customWidth="1"/>
    <col min="9" max="9" width="10.85546875" bestFit="1" customWidth="1"/>
    <col min="14" max="14" width="10.85546875" bestFit="1" customWidth="1"/>
    <col min="16" max="16" width="12.42578125" bestFit="1" customWidth="1"/>
    <col min="17" max="17" width="13.7109375" bestFit="1" customWidth="1"/>
    <col min="18" max="18" width="12.42578125" style="3" customWidth="1"/>
    <col min="19" max="19" width="10.28515625" customWidth="1"/>
    <col min="21" max="21" width="13.28515625" bestFit="1" customWidth="1"/>
    <col min="22" max="22" width="24.5703125" bestFit="1" customWidth="1"/>
    <col min="23" max="23" width="14.7109375" customWidth="1"/>
    <col min="24" max="24" width="49.85546875" customWidth="1"/>
  </cols>
  <sheetData>
    <row r="1" spans="1:24" ht="18.75" x14ac:dyDescent="0.3">
      <c r="A1" s="20" t="s">
        <v>136</v>
      </c>
      <c r="B1" s="8" t="s">
        <v>43</v>
      </c>
      <c r="C1" s="8"/>
      <c r="D1" s="8"/>
      <c r="E1" s="3"/>
      <c r="F1" t="s">
        <v>7</v>
      </c>
      <c r="I1" t="s">
        <v>195</v>
      </c>
      <c r="J1" t="s">
        <v>196</v>
      </c>
      <c r="N1" s="8"/>
      <c r="O1" s="8"/>
      <c r="P1" s="3" t="s">
        <v>146</v>
      </c>
      <c r="Q1" s="8"/>
      <c r="S1" t="s">
        <v>8</v>
      </c>
      <c r="U1" t="s">
        <v>193</v>
      </c>
    </row>
    <row r="2" spans="1:24" x14ac:dyDescent="0.25">
      <c r="A2" s="3" t="s">
        <v>0</v>
      </c>
      <c r="B2" s="8" t="s">
        <v>44</v>
      </c>
      <c r="C2" s="8" t="s">
        <v>324</v>
      </c>
      <c r="D2" s="8" t="s">
        <v>325</v>
      </c>
      <c r="E2" s="3" t="s">
        <v>46</v>
      </c>
      <c r="F2" s="8" t="s">
        <v>38</v>
      </c>
      <c r="G2" s="8" t="s">
        <v>39</v>
      </c>
      <c r="H2" t="s">
        <v>1</v>
      </c>
      <c r="I2" t="s">
        <v>2</v>
      </c>
      <c r="J2" t="s">
        <v>5</v>
      </c>
      <c r="K2" t="s">
        <v>241</v>
      </c>
      <c r="L2" t="s">
        <v>240</v>
      </c>
      <c r="M2" t="s">
        <v>323</v>
      </c>
      <c r="N2" t="s">
        <v>3</v>
      </c>
      <c r="O2" s="8" t="s">
        <v>4</v>
      </c>
      <c r="P2" s="3" t="s">
        <v>145</v>
      </c>
      <c r="Q2" s="4" t="s">
        <v>305</v>
      </c>
      <c r="R2" s="3" t="s">
        <v>288</v>
      </c>
      <c r="S2" s="4" t="s">
        <v>9</v>
      </c>
      <c r="T2" s="4" t="s">
        <v>10</v>
      </c>
      <c r="U2" s="4" t="s">
        <v>36</v>
      </c>
      <c r="V2" s="4" t="s">
        <v>122</v>
      </c>
      <c r="W2" s="4" t="s">
        <v>57</v>
      </c>
      <c r="X2" s="4" t="s">
        <v>21</v>
      </c>
    </row>
    <row r="3" spans="1:24" x14ac:dyDescent="0.25">
      <c r="A3" s="17" t="s">
        <v>148</v>
      </c>
      <c r="B3" s="8"/>
      <c r="C3" s="8"/>
      <c r="D3" s="8"/>
      <c r="E3" s="3"/>
      <c r="F3" s="8"/>
      <c r="G3" s="8"/>
      <c r="O3" s="8"/>
      <c r="P3" s="3"/>
      <c r="Q3" s="8"/>
      <c r="S3" s="4"/>
      <c r="T3" s="4"/>
      <c r="U3" s="4"/>
      <c r="V3" s="4"/>
      <c r="W3" s="4"/>
      <c r="X3" s="4"/>
    </row>
    <row r="4" spans="1:24" x14ac:dyDescent="0.25">
      <c r="A4" s="27" t="s">
        <v>229</v>
      </c>
      <c r="B4" s="8"/>
      <c r="C4" s="8"/>
      <c r="D4" s="8"/>
      <c r="E4" s="3"/>
      <c r="F4" s="8"/>
      <c r="G4" s="8"/>
      <c r="O4" s="8"/>
      <c r="P4" s="3"/>
      <c r="Q4" s="8"/>
      <c r="S4" s="4"/>
      <c r="T4" s="4"/>
      <c r="U4" s="4"/>
      <c r="V4" s="4"/>
      <c r="W4" s="4"/>
      <c r="X4" s="4"/>
    </row>
    <row r="5" spans="1:24" x14ac:dyDescent="0.25">
      <c r="A5" s="6">
        <v>8</v>
      </c>
      <c r="B5" s="4">
        <v>1523</v>
      </c>
      <c r="C5" s="4">
        <v>625</v>
      </c>
      <c r="D5" s="4"/>
      <c r="E5" s="6">
        <v>65</v>
      </c>
      <c r="F5" s="21">
        <v>101</v>
      </c>
      <c r="G5" s="21">
        <v>601</v>
      </c>
      <c r="H5" s="21">
        <v>200</v>
      </c>
      <c r="I5" s="22" t="s">
        <v>6</v>
      </c>
      <c r="J5" s="21">
        <v>0.8</v>
      </c>
      <c r="K5" s="21"/>
      <c r="L5" s="21"/>
      <c r="M5" s="21"/>
      <c r="N5" s="21">
        <v>70</v>
      </c>
      <c r="O5" s="23">
        <v>4890000</v>
      </c>
      <c r="P5" s="6">
        <v>4.7</v>
      </c>
      <c r="Q5" s="4"/>
      <c r="R5" s="6"/>
      <c r="S5" s="4">
        <v>3.1</v>
      </c>
      <c r="T5" s="4">
        <v>9.6</v>
      </c>
      <c r="U5" s="4"/>
      <c r="V5" s="4"/>
      <c r="W5" s="4"/>
      <c r="X5" s="4"/>
    </row>
    <row r="6" spans="1:24" x14ac:dyDescent="0.25">
      <c r="A6" s="6">
        <v>9</v>
      </c>
      <c r="B6" s="4">
        <v>1523</v>
      </c>
      <c r="C6" s="4">
        <v>625</v>
      </c>
      <c r="D6" s="4"/>
      <c r="E6" s="6">
        <v>78</v>
      </c>
      <c r="F6" s="21">
        <v>101</v>
      </c>
      <c r="G6" s="21">
        <v>601</v>
      </c>
      <c r="H6" s="21">
        <v>200</v>
      </c>
      <c r="I6" s="22" t="s">
        <v>6</v>
      </c>
      <c r="J6" s="21">
        <v>0.8</v>
      </c>
      <c r="K6" s="21"/>
      <c r="L6" s="21"/>
      <c r="M6" s="21"/>
      <c r="N6" s="21">
        <v>70</v>
      </c>
      <c r="O6" s="23">
        <v>4890000</v>
      </c>
      <c r="P6" s="6">
        <v>4.7</v>
      </c>
      <c r="Q6" s="4"/>
      <c r="R6" s="6"/>
      <c r="S6" s="4" t="s">
        <v>79</v>
      </c>
      <c r="T6" s="4"/>
      <c r="U6" s="4"/>
      <c r="V6" s="4"/>
      <c r="W6" s="4"/>
      <c r="X6" s="4" t="s">
        <v>139</v>
      </c>
    </row>
    <row r="7" spans="1:24" x14ac:dyDescent="0.25">
      <c r="A7" s="6">
        <v>16</v>
      </c>
      <c r="B7" s="4">
        <v>1523</v>
      </c>
      <c r="C7" s="4">
        <v>625</v>
      </c>
      <c r="D7" s="4"/>
      <c r="E7" s="6">
        <v>156</v>
      </c>
      <c r="F7" s="4">
        <v>101</v>
      </c>
      <c r="G7" s="4">
        <v>601</v>
      </c>
      <c r="H7" s="21">
        <v>200</v>
      </c>
      <c r="I7" s="22" t="s">
        <v>6</v>
      </c>
      <c r="J7" s="22">
        <v>0.8</v>
      </c>
      <c r="K7" s="22"/>
      <c r="L7" s="22"/>
      <c r="M7" s="22"/>
      <c r="N7" s="4">
        <v>70</v>
      </c>
      <c r="O7" s="25">
        <v>4890000</v>
      </c>
      <c r="P7" s="15">
        <v>4.7</v>
      </c>
      <c r="Q7" s="35"/>
      <c r="R7" s="15"/>
      <c r="S7" s="24"/>
      <c r="T7" s="4"/>
      <c r="U7" s="21"/>
      <c r="V7" s="21"/>
      <c r="W7" s="4"/>
      <c r="X7" s="21"/>
    </row>
    <row r="8" spans="1:24" x14ac:dyDescent="0.25">
      <c r="A8" s="6">
        <v>19</v>
      </c>
      <c r="B8" s="4">
        <v>1523</v>
      </c>
      <c r="C8" s="4">
        <v>625</v>
      </c>
      <c r="D8" s="4"/>
      <c r="E8" s="6">
        <v>100</v>
      </c>
      <c r="F8" s="4">
        <v>101</v>
      </c>
      <c r="G8" s="4">
        <v>601</v>
      </c>
      <c r="H8" s="21">
        <v>200</v>
      </c>
      <c r="I8" s="22" t="s">
        <v>6</v>
      </c>
      <c r="J8" s="22">
        <v>0.8</v>
      </c>
      <c r="K8" s="22"/>
      <c r="L8" s="22"/>
      <c r="M8" s="22"/>
      <c r="N8" s="4">
        <v>70</v>
      </c>
      <c r="O8" s="25">
        <v>4890000</v>
      </c>
      <c r="P8" s="15">
        <v>4.7</v>
      </c>
      <c r="Q8" s="35"/>
      <c r="R8" s="15"/>
      <c r="S8" s="21"/>
      <c r="T8" s="21"/>
      <c r="U8" s="21"/>
      <c r="V8" s="21"/>
      <c r="W8" s="4"/>
      <c r="X8" s="21"/>
    </row>
    <row r="9" spans="1:24" x14ac:dyDescent="0.25">
      <c r="A9" s="6">
        <v>20</v>
      </c>
      <c r="B9" s="4">
        <v>1523</v>
      </c>
      <c r="C9" s="4">
        <v>625</v>
      </c>
      <c r="D9" s="4"/>
      <c r="E9" s="6">
        <v>65</v>
      </c>
      <c r="F9" s="4">
        <v>101</v>
      </c>
      <c r="G9" s="4">
        <v>601</v>
      </c>
      <c r="H9" s="21">
        <v>200</v>
      </c>
      <c r="I9" s="22" t="s">
        <v>6</v>
      </c>
      <c r="J9" s="22">
        <v>0.8</v>
      </c>
      <c r="K9" s="22"/>
      <c r="L9" s="22"/>
      <c r="M9" s="22"/>
      <c r="N9" s="4">
        <v>70</v>
      </c>
      <c r="O9" s="25">
        <v>4890000</v>
      </c>
      <c r="P9" s="15">
        <v>3.5</v>
      </c>
      <c r="Q9" s="35"/>
      <c r="R9" s="15"/>
      <c r="S9" s="21"/>
      <c r="T9" s="21"/>
      <c r="U9" s="21"/>
      <c r="V9" s="21"/>
      <c r="W9" s="4"/>
      <c r="X9" s="21"/>
    </row>
    <row r="10" spans="1:24" x14ac:dyDescent="0.25">
      <c r="A10" s="6">
        <v>17</v>
      </c>
      <c r="B10" s="4">
        <v>1523</v>
      </c>
      <c r="C10" s="4">
        <v>625</v>
      </c>
      <c r="D10" s="4"/>
      <c r="E10" s="6">
        <v>65</v>
      </c>
      <c r="F10" s="4">
        <v>101</v>
      </c>
      <c r="G10" s="4">
        <v>601</v>
      </c>
      <c r="H10" s="21">
        <v>200</v>
      </c>
      <c r="I10" s="22" t="s">
        <v>6</v>
      </c>
      <c r="J10" s="22">
        <v>0.8</v>
      </c>
      <c r="K10" s="22"/>
      <c r="L10" s="22"/>
      <c r="M10" s="22"/>
      <c r="N10" s="21">
        <v>70</v>
      </c>
      <c r="O10" s="23">
        <v>4890000</v>
      </c>
      <c r="P10" s="15">
        <v>4</v>
      </c>
      <c r="Q10" s="35"/>
      <c r="R10" s="15"/>
      <c r="S10" s="21"/>
      <c r="T10" s="21"/>
      <c r="U10" s="21"/>
      <c r="V10" s="21"/>
      <c r="W10" s="4"/>
      <c r="X10" s="21"/>
    </row>
    <row r="11" spans="1:24" x14ac:dyDescent="0.25">
      <c r="A11" s="6">
        <v>18</v>
      </c>
      <c r="B11" s="4">
        <v>1523</v>
      </c>
      <c r="C11" s="4">
        <v>625</v>
      </c>
      <c r="D11" s="4"/>
      <c r="E11" s="6">
        <v>65</v>
      </c>
      <c r="F11" s="4">
        <v>101</v>
      </c>
      <c r="G11" s="4">
        <v>601</v>
      </c>
      <c r="H11" s="21">
        <v>200</v>
      </c>
      <c r="I11" s="22" t="s">
        <v>6</v>
      </c>
      <c r="J11" s="22">
        <v>0.8</v>
      </c>
      <c r="K11" s="22"/>
      <c r="L11" s="22"/>
      <c r="M11" s="22"/>
      <c r="N11" s="21">
        <v>70</v>
      </c>
      <c r="O11" s="23">
        <v>4890000</v>
      </c>
      <c r="P11" s="15">
        <v>5</v>
      </c>
      <c r="Q11" s="35"/>
      <c r="R11" s="15"/>
      <c r="S11" s="21" t="s">
        <v>79</v>
      </c>
      <c r="T11" s="21"/>
      <c r="U11" s="21"/>
      <c r="V11" s="21"/>
      <c r="W11" s="4"/>
      <c r="X11" s="4" t="s">
        <v>141</v>
      </c>
    </row>
    <row r="12" spans="1:24" x14ac:dyDescent="0.25">
      <c r="A12" s="6">
        <v>11</v>
      </c>
      <c r="B12" s="4">
        <v>1523</v>
      </c>
      <c r="C12" s="4">
        <v>625</v>
      </c>
      <c r="D12" s="4"/>
      <c r="E12" s="6">
        <v>65</v>
      </c>
      <c r="F12" s="21">
        <v>101</v>
      </c>
      <c r="G12" s="21">
        <v>601</v>
      </c>
      <c r="H12" s="21">
        <v>200</v>
      </c>
      <c r="I12" s="22" t="s">
        <v>6</v>
      </c>
      <c r="J12" s="21">
        <v>0.8</v>
      </c>
      <c r="K12" s="21"/>
      <c r="L12" s="21"/>
      <c r="M12" s="21"/>
      <c r="N12" s="21">
        <v>48</v>
      </c>
      <c r="O12" s="23">
        <v>4890000</v>
      </c>
      <c r="P12" s="6">
        <v>4.7</v>
      </c>
      <c r="Q12" s="4"/>
      <c r="R12" s="6"/>
      <c r="S12" s="4">
        <v>0.18</v>
      </c>
      <c r="T12" s="4">
        <v>13.5</v>
      </c>
      <c r="U12" s="4">
        <v>7800</v>
      </c>
      <c r="V12" s="25">
        <v>700000</v>
      </c>
      <c r="W12" s="21" t="s">
        <v>138</v>
      </c>
      <c r="X12" s="21"/>
    </row>
    <row r="13" spans="1:24" x14ac:dyDescent="0.25">
      <c r="A13" s="6">
        <v>6</v>
      </c>
      <c r="B13" s="4">
        <v>1523</v>
      </c>
      <c r="C13" s="4">
        <v>625</v>
      </c>
      <c r="D13" s="4"/>
      <c r="E13" s="6">
        <v>78</v>
      </c>
      <c r="F13" s="21">
        <v>101</v>
      </c>
      <c r="G13" s="21">
        <v>601</v>
      </c>
      <c r="H13" s="21">
        <v>200</v>
      </c>
      <c r="I13" s="22" t="s">
        <v>6</v>
      </c>
      <c r="J13" s="21">
        <v>0.8</v>
      </c>
      <c r="K13" s="21"/>
      <c r="L13" s="21"/>
      <c r="M13" s="21"/>
      <c r="N13" s="21">
        <v>48</v>
      </c>
      <c r="O13" s="23">
        <v>4890000</v>
      </c>
      <c r="P13" s="6">
        <v>4.7</v>
      </c>
      <c r="Q13" s="4"/>
      <c r="R13" s="6"/>
      <c r="S13" s="4">
        <v>0.24</v>
      </c>
      <c r="T13" s="4">
        <v>15.1</v>
      </c>
      <c r="U13" s="4">
        <v>7800</v>
      </c>
      <c r="V13" s="25"/>
      <c r="W13" s="21"/>
      <c r="X13" s="21"/>
    </row>
    <row r="14" spans="1:24" x14ac:dyDescent="0.25">
      <c r="A14" s="6">
        <v>12</v>
      </c>
      <c r="B14" s="4">
        <v>1523</v>
      </c>
      <c r="C14" s="4">
        <v>625</v>
      </c>
      <c r="D14" s="4"/>
      <c r="E14" s="6">
        <v>100</v>
      </c>
      <c r="F14" s="21">
        <v>101</v>
      </c>
      <c r="G14" s="21">
        <v>601</v>
      </c>
      <c r="H14" s="21">
        <v>200</v>
      </c>
      <c r="I14" s="22" t="s">
        <v>6</v>
      </c>
      <c r="J14" s="21">
        <v>0.8</v>
      </c>
      <c r="K14" s="21"/>
      <c r="L14" s="21"/>
      <c r="M14" s="21"/>
      <c r="N14" s="4">
        <v>48</v>
      </c>
      <c r="O14" s="4">
        <v>4890000</v>
      </c>
      <c r="P14" s="6">
        <v>4.7</v>
      </c>
      <c r="Q14" s="4"/>
      <c r="R14" s="6"/>
      <c r="S14" s="4">
        <v>0.45</v>
      </c>
      <c r="T14" s="4">
        <v>17.2</v>
      </c>
      <c r="U14" s="4">
        <v>7800</v>
      </c>
      <c r="V14" s="25">
        <v>900000</v>
      </c>
      <c r="W14" s="21" t="s">
        <v>140</v>
      </c>
      <c r="X14" s="21"/>
    </row>
    <row r="15" spans="1:24" x14ac:dyDescent="0.25">
      <c r="A15" s="6">
        <v>2</v>
      </c>
      <c r="B15" s="4">
        <v>1523</v>
      </c>
      <c r="C15" s="4">
        <v>625</v>
      </c>
      <c r="D15" s="4"/>
      <c r="E15" s="6">
        <v>156</v>
      </c>
      <c r="F15" s="21">
        <v>101</v>
      </c>
      <c r="G15" s="21">
        <v>601</v>
      </c>
      <c r="H15" s="21">
        <v>200</v>
      </c>
      <c r="I15" s="22" t="s">
        <v>6</v>
      </c>
      <c r="J15" s="21">
        <v>0.8</v>
      </c>
      <c r="K15" s="21"/>
      <c r="L15" s="21"/>
      <c r="M15" s="21"/>
      <c r="N15" s="21">
        <v>48</v>
      </c>
      <c r="O15" s="23">
        <v>4890000</v>
      </c>
      <c r="P15" s="6">
        <v>4.7</v>
      </c>
      <c r="Q15" s="4"/>
      <c r="R15" s="6"/>
      <c r="S15" s="21">
        <v>6.1</v>
      </c>
      <c r="T15" s="4">
        <v>19.3</v>
      </c>
      <c r="U15" s="21"/>
      <c r="V15" s="21"/>
      <c r="W15" s="4"/>
      <c r="X15" s="21"/>
    </row>
    <row r="16" spans="1:24" x14ac:dyDescent="0.25">
      <c r="A16" s="6">
        <v>14</v>
      </c>
      <c r="B16" s="4">
        <v>1523</v>
      </c>
      <c r="C16" s="4">
        <v>625</v>
      </c>
      <c r="D16" s="4"/>
      <c r="E16" s="6">
        <v>65</v>
      </c>
      <c r="F16" s="4">
        <v>101</v>
      </c>
      <c r="G16" s="4">
        <v>601</v>
      </c>
      <c r="H16" s="21">
        <v>200</v>
      </c>
      <c r="I16" s="22" t="s">
        <v>6</v>
      </c>
      <c r="J16" s="22">
        <v>0.8</v>
      </c>
      <c r="K16" s="22"/>
      <c r="L16" s="22"/>
      <c r="M16" s="22"/>
      <c r="N16" s="21">
        <v>48</v>
      </c>
      <c r="O16" s="25">
        <v>4890000</v>
      </c>
      <c r="P16" s="15">
        <v>3.5</v>
      </c>
      <c r="Q16" s="35"/>
      <c r="R16" s="15"/>
      <c r="S16" s="4">
        <v>0.21</v>
      </c>
      <c r="T16" s="4">
        <v>10.7</v>
      </c>
      <c r="U16" s="4">
        <v>6000</v>
      </c>
      <c r="V16" s="25">
        <v>700000</v>
      </c>
      <c r="W16" s="4" t="s">
        <v>142</v>
      </c>
      <c r="X16" s="21"/>
    </row>
    <row r="17" spans="1:24" x14ac:dyDescent="0.25">
      <c r="A17" s="16">
        <v>13</v>
      </c>
      <c r="B17" s="4">
        <v>1523</v>
      </c>
      <c r="C17" s="4">
        <v>625</v>
      </c>
      <c r="D17" s="4"/>
      <c r="E17" s="6">
        <v>65</v>
      </c>
      <c r="F17" s="21">
        <v>101</v>
      </c>
      <c r="G17" s="21">
        <v>601</v>
      </c>
      <c r="H17" s="21">
        <v>200</v>
      </c>
      <c r="I17" s="22" t="s">
        <v>6</v>
      </c>
      <c r="J17" s="21">
        <v>0.8</v>
      </c>
      <c r="K17" s="21"/>
      <c r="L17" s="21"/>
      <c r="M17" s="21"/>
      <c r="N17" s="4">
        <v>48</v>
      </c>
      <c r="O17" s="4">
        <v>4890000</v>
      </c>
      <c r="P17" s="6">
        <v>4</v>
      </c>
      <c r="Q17" s="4"/>
      <c r="R17" s="6"/>
      <c r="S17" s="4">
        <v>0.19</v>
      </c>
      <c r="T17" s="4">
        <v>12</v>
      </c>
      <c r="U17" s="4">
        <v>6600</v>
      </c>
      <c r="V17" s="25">
        <v>800000</v>
      </c>
      <c r="W17" s="4" t="s">
        <v>142</v>
      </c>
      <c r="X17" s="21"/>
    </row>
    <row r="18" spans="1:24" x14ac:dyDescent="0.25">
      <c r="A18" s="6">
        <v>15</v>
      </c>
      <c r="B18" s="4">
        <v>1523</v>
      </c>
      <c r="C18" s="4">
        <v>625</v>
      </c>
      <c r="D18" s="4"/>
      <c r="E18" s="6">
        <v>65</v>
      </c>
      <c r="F18" s="4">
        <v>101</v>
      </c>
      <c r="G18" s="4">
        <v>601</v>
      </c>
      <c r="H18" s="21">
        <v>200</v>
      </c>
      <c r="I18" s="22" t="s">
        <v>6</v>
      </c>
      <c r="J18" s="22">
        <v>0.8</v>
      </c>
      <c r="K18" s="22"/>
      <c r="L18" s="22"/>
      <c r="M18" s="22"/>
      <c r="N18" s="4">
        <v>48</v>
      </c>
      <c r="O18" s="25">
        <v>4890000</v>
      </c>
      <c r="P18" s="15">
        <v>5</v>
      </c>
      <c r="Q18" s="35"/>
      <c r="R18" s="15"/>
      <c r="S18" s="4">
        <v>0.17</v>
      </c>
      <c r="T18" s="4">
        <v>14.2</v>
      </c>
      <c r="U18" s="4">
        <v>8000</v>
      </c>
      <c r="V18" s="25">
        <v>1000000</v>
      </c>
      <c r="W18" s="4" t="s">
        <v>142</v>
      </c>
      <c r="X18" s="21"/>
    </row>
    <row r="19" spans="1:24" x14ac:dyDescent="0.25">
      <c r="A19" s="16" t="s">
        <v>308</v>
      </c>
      <c r="B19" s="4"/>
      <c r="C19" s="4"/>
      <c r="D19" s="4"/>
      <c r="E19" s="6"/>
      <c r="F19" s="4"/>
      <c r="G19" s="4"/>
      <c r="H19" s="21"/>
      <c r="I19" s="22"/>
      <c r="J19" s="22"/>
      <c r="K19" s="22"/>
      <c r="L19" s="22"/>
      <c r="M19" s="22"/>
      <c r="N19" s="4"/>
      <c r="O19" s="25"/>
      <c r="P19" s="15"/>
      <c r="Q19" s="35"/>
      <c r="R19" s="15"/>
      <c r="S19" s="4"/>
      <c r="T19" s="4"/>
      <c r="U19" s="4"/>
      <c r="V19" s="25"/>
      <c r="W19" s="4"/>
      <c r="X19" s="21"/>
    </row>
    <row r="20" spans="1:24" x14ac:dyDescent="0.25">
      <c r="A20" s="6"/>
      <c r="B20" s="4">
        <v>3065</v>
      </c>
      <c r="C20" s="4" t="s">
        <v>216</v>
      </c>
      <c r="D20" s="4"/>
      <c r="E20" s="6">
        <v>65</v>
      </c>
      <c r="F20" s="4">
        <v>100</v>
      </c>
      <c r="G20" s="4">
        <v>600</v>
      </c>
      <c r="H20" s="4">
        <v>200</v>
      </c>
      <c r="I20" s="21" t="s">
        <v>6</v>
      </c>
      <c r="J20" s="22">
        <v>0.8</v>
      </c>
      <c r="K20" s="22"/>
      <c r="L20" s="22"/>
      <c r="M20" s="22"/>
      <c r="N20" s="4">
        <v>48</v>
      </c>
      <c r="O20" s="25">
        <v>4890000</v>
      </c>
      <c r="P20" s="15">
        <v>4.07</v>
      </c>
      <c r="Q20" s="35"/>
      <c r="R20" s="15"/>
      <c r="S20" s="21">
        <v>0.3</v>
      </c>
      <c r="T20" s="21">
        <v>6.71</v>
      </c>
      <c r="U20" s="21"/>
      <c r="W20" s="21" t="s">
        <v>217</v>
      </c>
    </row>
    <row r="21" spans="1:24" x14ac:dyDescent="0.25">
      <c r="A21" s="6">
        <v>2</v>
      </c>
      <c r="B21" s="4">
        <v>3065</v>
      </c>
      <c r="C21" s="4" t="s">
        <v>186</v>
      </c>
      <c r="D21" s="4"/>
      <c r="E21" s="6">
        <v>65</v>
      </c>
      <c r="F21" s="4">
        <v>100</v>
      </c>
      <c r="G21" s="4">
        <v>600</v>
      </c>
      <c r="H21" s="4">
        <v>200</v>
      </c>
      <c r="I21" s="21" t="s">
        <v>6</v>
      </c>
      <c r="J21" s="22">
        <v>0.8</v>
      </c>
      <c r="K21" s="22"/>
      <c r="L21" s="22"/>
      <c r="M21" s="22"/>
      <c r="N21" s="4">
        <v>48</v>
      </c>
      <c r="O21" s="25">
        <v>4890000</v>
      </c>
      <c r="P21" s="15">
        <v>2.78</v>
      </c>
      <c r="Q21" s="35"/>
      <c r="R21" s="15"/>
      <c r="S21" s="21">
        <v>0.38</v>
      </c>
      <c r="T21" s="21">
        <v>4.72</v>
      </c>
      <c r="U21" s="4">
        <v>2900</v>
      </c>
      <c r="V21" s="21"/>
      <c r="W21" s="4" t="s">
        <v>218</v>
      </c>
      <c r="X21" s="21" t="s">
        <v>219</v>
      </c>
    </row>
    <row r="22" spans="1:24" x14ac:dyDescent="0.25">
      <c r="A22" s="6"/>
      <c r="B22" s="4">
        <v>3065</v>
      </c>
      <c r="C22" s="4" t="s">
        <v>186</v>
      </c>
      <c r="D22" s="4"/>
      <c r="E22" s="6">
        <v>65</v>
      </c>
      <c r="F22" s="4">
        <v>100</v>
      </c>
      <c r="G22" s="4">
        <v>600</v>
      </c>
      <c r="H22" s="4">
        <v>100</v>
      </c>
      <c r="I22" s="21" t="s">
        <v>6</v>
      </c>
      <c r="J22" s="22">
        <v>0.8</v>
      </c>
      <c r="K22" s="22"/>
      <c r="L22" s="22"/>
      <c r="M22" s="22"/>
      <c r="N22" s="4">
        <v>48</v>
      </c>
      <c r="O22" s="25">
        <v>4890000</v>
      </c>
      <c r="P22" s="15">
        <v>2.78</v>
      </c>
      <c r="Q22" s="35"/>
      <c r="R22" s="15"/>
      <c r="S22" s="21">
        <v>2.4500000000000002</v>
      </c>
      <c r="T22" s="21">
        <v>4.24</v>
      </c>
      <c r="U22" s="4">
        <v>2900</v>
      </c>
      <c r="W22" s="21" t="s">
        <v>220</v>
      </c>
      <c r="X22" s="21" t="s">
        <v>221</v>
      </c>
    </row>
    <row r="23" spans="1:24" x14ac:dyDescent="0.25">
      <c r="B23" s="4">
        <v>3065</v>
      </c>
      <c r="C23" s="4" t="s">
        <v>186</v>
      </c>
      <c r="D23" s="4"/>
      <c r="E23" s="6">
        <v>65</v>
      </c>
      <c r="F23" s="4">
        <v>100</v>
      </c>
      <c r="G23" s="4">
        <v>600</v>
      </c>
      <c r="H23" s="4">
        <v>0</v>
      </c>
      <c r="I23" s="21" t="s">
        <v>6</v>
      </c>
      <c r="J23" s="22">
        <v>0.8</v>
      </c>
      <c r="K23" s="22"/>
      <c r="L23" s="22"/>
      <c r="M23" s="22"/>
      <c r="N23" s="4">
        <v>48</v>
      </c>
      <c r="O23" s="25">
        <v>4890000</v>
      </c>
      <c r="P23" s="15">
        <v>2.78</v>
      </c>
      <c r="Q23" s="35"/>
      <c r="R23" s="15"/>
      <c r="S23" s="21" t="s">
        <v>79</v>
      </c>
      <c r="T23" s="21" t="s">
        <v>79</v>
      </c>
      <c r="U23" s="4">
        <v>335</v>
      </c>
      <c r="W23" s="21" t="s">
        <v>204</v>
      </c>
      <c r="X23" s="21" t="s">
        <v>222</v>
      </c>
    </row>
    <row r="24" spans="1:24" x14ac:dyDescent="0.25">
      <c r="A24" s="6"/>
      <c r="B24" s="4">
        <v>3065</v>
      </c>
      <c r="C24" s="4" t="s">
        <v>186</v>
      </c>
      <c r="D24" s="4"/>
      <c r="E24" s="6">
        <v>65</v>
      </c>
      <c r="F24" s="4">
        <v>100</v>
      </c>
      <c r="G24" s="4">
        <v>600</v>
      </c>
      <c r="H24" s="4">
        <v>200</v>
      </c>
      <c r="I24" s="21" t="s">
        <v>6</v>
      </c>
      <c r="J24" s="22">
        <v>0.8</v>
      </c>
      <c r="K24" s="22"/>
      <c r="L24" s="22"/>
      <c r="M24" s="22"/>
      <c r="N24" s="4">
        <v>48</v>
      </c>
      <c r="O24" s="25">
        <v>4890000</v>
      </c>
      <c r="P24" s="15">
        <v>2.78</v>
      </c>
      <c r="Q24" s="35"/>
      <c r="R24" s="15"/>
      <c r="S24" s="21">
        <v>0.3</v>
      </c>
      <c r="T24" s="21">
        <v>4.03</v>
      </c>
      <c r="U24" s="4">
        <v>2970</v>
      </c>
      <c r="W24" s="21" t="s">
        <v>223</v>
      </c>
      <c r="X24" s="21" t="s">
        <v>224</v>
      </c>
    </row>
    <row r="25" spans="1:24" x14ac:dyDescent="0.25">
      <c r="A25" s="6"/>
      <c r="B25" s="4">
        <v>3065</v>
      </c>
      <c r="C25" s="4" t="s">
        <v>186</v>
      </c>
      <c r="D25" s="4"/>
      <c r="E25" s="6">
        <v>65</v>
      </c>
      <c r="F25" s="4">
        <v>100</v>
      </c>
      <c r="G25" s="4">
        <v>600</v>
      </c>
      <c r="H25" s="4">
        <v>200</v>
      </c>
      <c r="I25" s="21">
        <v>1000</v>
      </c>
      <c r="J25" s="22" t="s">
        <v>6</v>
      </c>
      <c r="K25" s="22"/>
      <c r="L25" s="22"/>
      <c r="M25" s="22"/>
      <c r="N25" s="4">
        <v>48</v>
      </c>
      <c r="O25" s="25">
        <v>4890000</v>
      </c>
      <c r="P25" s="15">
        <v>2.78</v>
      </c>
      <c r="Q25" s="35"/>
      <c r="R25" s="15"/>
      <c r="S25" s="21">
        <v>0.37</v>
      </c>
      <c r="T25" s="21">
        <v>4.75</v>
      </c>
      <c r="U25" s="21"/>
      <c r="W25" s="21" t="s">
        <v>225</v>
      </c>
      <c r="X25" s="21" t="s">
        <v>226</v>
      </c>
    </row>
    <row r="26" spans="1:24" x14ac:dyDescent="0.25">
      <c r="A26" s="6">
        <v>5</v>
      </c>
      <c r="B26" s="4">
        <v>3065</v>
      </c>
      <c r="C26" s="4" t="s">
        <v>186</v>
      </c>
      <c r="D26" s="4"/>
      <c r="E26" s="6">
        <v>65</v>
      </c>
      <c r="F26" s="4">
        <v>100</v>
      </c>
      <c r="G26" s="4">
        <v>600</v>
      </c>
      <c r="H26" s="4">
        <v>200</v>
      </c>
      <c r="I26" s="21" t="s">
        <v>6</v>
      </c>
      <c r="J26" s="22">
        <v>0.8</v>
      </c>
      <c r="K26" s="22"/>
      <c r="L26" s="22"/>
      <c r="M26" s="22"/>
      <c r="N26" s="4">
        <v>48</v>
      </c>
      <c r="O26" s="25">
        <v>4890000</v>
      </c>
      <c r="P26" s="15">
        <v>2.78</v>
      </c>
      <c r="Q26" s="35"/>
      <c r="R26" s="15"/>
      <c r="S26" s="21">
        <v>0.38</v>
      </c>
      <c r="T26" s="21">
        <v>4.72</v>
      </c>
      <c r="U26" s="21"/>
      <c r="W26" s="21" t="s">
        <v>225</v>
      </c>
      <c r="X26" s="21" t="s">
        <v>227</v>
      </c>
    </row>
    <row r="27" spans="1:24" x14ac:dyDescent="0.25">
      <c r="A27" s="6">
        <v>6</v>
      </c>
      <c r="B27" s="4">
        <v>3065</v>
      </c>
      <c r="C27" s="4" t="s">
        <v>186</v>
      </c>
      <c r="D27" s="4"/>
      <c r="E27" s="6">
        <v>65</v>
      </c>
      <c r="F27" s="4">
        <v>100</v>
      </c>
      <c r="G27" s="4">
        <v>600</v>
      </c>
      <c r="H27" s="4">
        <v>200</v>
      </c>
      <c r="I27" s="21" t="s">
        <v>6</v>
      </c>
      <c r="J27" s="22">
        <v>0.8</v>
      </c>
      <c r="K27" s="22"/>
      <c r="L27" s="22"/>
      <c r="M27" s="22"/>
      <c r="N27" s="4">
        <v>48</v>
      </c>
      <c r="O27" s="25">
        <v>4890000</v>
      </c>
      <c r="P27" s="15">
        <v>2.78</v>
      </c>
      <c r="Q27" s="35"/>
      <c r="R27" s="15"/>
      <c r="S27" s="21"/>
      <c r="T27" s="21"/>
      <c r="U27" s="21"/>
      <c r="W27" s="21"/>
      <c r="X27" s="21" t="s">
        <v>228</v>
      </c>
    </row>
    <row r="28" spans="1:24" x14ac:dyDescent="0.25">
      <c r="A28" s="6" t="s">
        <v>285</v>
      </c>
      <c r="B28" s="4"/>
      <c r="C28" s="4"/>
      <c r="D28" s="4"/>
      <c r="E28" s="6"/>
      <c r="F28" s="4"/>
      <c r="G28" s="4"/>
      <c r="H28" s="4"/>
      <c r="I28" s="21"/>
      <c r="J28" s="22"/>
      <c r="K28" s="22"/>
      <c r="L28" s="22"/>
      <c r="M28" s="22"/>
      <c r="N28" s="4"/>
      <c r="O28" s="25"/>
      <c r="P28" s="15"/>
      <c r="Q28" s="35"/>
      <c r="R28" s="15"/>
      <c r="S28" s="21"/>
      <c r="T28" s="21"/>
      <c r="U28" s="21"/>
      <c r="W28" s="21"/>
      <c r="X28" s="21"/>
    </row>
    <row r="29" spans="1:24" x14ac:dyDescent="0.25">
      <c r="A29" s="17">
        <v>7</v>
      </c>
      <c r="B29" s="4" t="s">
        <v>284</v>
      </c>
      <c r="C29" s="8" t="s">
        <v>186</v>
      </c>
      <c r="D29" s="8"/>
      <c r="E29" s="3">
        <v>65</v>
      </c>
      <c r="F29" s="4">
        <v>100</v>
      </c>
      <c r="G29" s="4">
        <v>100</v>
      </c>
      <c r="H29" s="4">
        <v>200</v>
      </c>
      <c r="I29" s="4">
        <v>10</v>
      </c>
      <c r="J29" s="4">
        <v>15</v>
      </c>
      <c r="K29" s="2">
        <v>1.0000000000000001E-5</v>
      </c>
      <c r="L29" s="2">
        <v>4.0000000000000001E-8</v>
      </c>
      <c r="M29" s="2"/>
      <c r="N29">
        <v>48</v>
      </c>
      <c r="O29" s="9">
        <v>4890000</v>
      </c>
      <c r="P29" s="3">
        <v>2.78</v>
      </c>
      <c r="Q29" s="9">
        <v>1E-10</v>
      </c>
      <c r="R29" s="36">
        <v>5.9999999999999995E-4</v>
      </c>
      <c r="S29" s="33">
        <v>0.53</v>
      </c>
      <c r="T29" s="33">
        <v>2.96</v>
      </c>
      <c r="U29" s="21"/>
      <c r="W29" s="21" t="s">
        <v>283</v>
      </c>
      <c r="X29" s="21" t="s">
        <v>282</v>
      </c>
    </row>
    <row r="30" spans="1:24" x14ac:dyDescent="0.25">
      <c r="A30" s="17">
        <v>8</v>
      </c>
      <c r="B30" s="4" t="s">
        <v>284</v>
      </c>
      <c r="C30" s="8" t="s">
        <v>186</v>
      </c>
      <c r="D30" s="8"/>
      <c r="E30" s="3">
        <v>65</v>
      </c>
      <c r="F30" s="4">
        <v>100</v>
      </c>
      <c r="G30" s="4">
        <v>100</v>
      </c>
      <c r="H30" s="4">
        <v>200</v>
      </c>
      <c r="I30" s="4">
        <v>10</v>
      </c>
      <c r="J30" s="34">
        <v>15</v>
      </c>
      <c r="K30" s="2">
        <v>1.0000000000000001E-5</v>
      </c>
      <c r="L30" s="2">
        <v>4.0000000000000001E-8</v>
      </c>
      <c r="M30" s="2"/>
      <c r="N30">
        <v>48</v>
      </c>
      <c r="O30" s="9">
        <v>4890000</v>
      </c>
      <c r="P30" s="3">
        <v>2.78</v>
      </c>
      <c r="Q30" s="9">
        <v>1.0000000000000001E-9</v>
      </c>
      <c r="R30" s="36">
        <v>2.9999999999999997E-4</v>
      </c>
      <c r="S30" s="33">
        <v>0.16</v>
      </c>
      <c r="T30" s="33">
        <v>6.32</v>
      </c>
      <c r="U30" s="21"/>
      <c r="W30" s="21" t="s">
        <v>283</v>
      </c>
      <c r="X30" s="21" t="s">
        <v>286</v>
      </c>
    </row>
    <row r="31" spans="1:24" x14ac:dyDescent="0.25">
      <c r="A31" s="6">
        <v>9</v>
      </c>
      <c r="B31" s="4" t="s">
        <v>284</v>
      </c>
      <c r="C31" s="8" t="s">
        <v>186</v>
      </c>
      <c r="D31" s="8"/>
      <c r="E31" s="3">
        <v>65</v>
      </c>
      <c r="F31" s="4">
        <v>100</v>
      </c>
      <c r="G31" s="4">
        <v>100</v>
      </c>
      <c r="H31" s="4">
        <v>400</v>
      </c>
      <c r="I31" s="4">
        <v>10</v>
      </c>
      <c r="J31" s="4">
        <v>15</v>
      </c>
      <c r="K31" s="2">
        <v>1.0000000000000001E-5</v>
      </c>
      <c r="L31" s="2">
        <v>4.0000000000000001E-8</v>
      </c>
      <c r="M31" s="2"/>
      <c r="N31">
        <v>48</v>
      </c>
      <c r="O31" s="9">
        <v>4890000</v>
      </c>
      <c r="P31" s="3">
        <v>2.78</v>
      </c>
      <c r="Q31" s="9">
        <v>1.0000000000000001E-9</v>
      </c>
      <c r="R31" s="36">
        <v>2.9999999999999997E-4</v>
      </c>
      <c r="S31" s="33">
        <v>0.06</v>
      </c>
      <c r="T31" s="33">
        <v>12.5</v>
      </c>
      <c r="U31" s="21"/>
      <c r="W31" s="21" t="s">
        <v>283</v>
      </c>
      <c r="X31" s="21" t="s">
        <v>289</v>
      </c>
    </row>
    <row r="32" spans="1:24" x14ac:dyDescent="0.25">
      <c r="A32" s="6">
        <v>10</v>
      </c>
      <c r="B32" s="4" t="s">
        <v>284</v>
      </c>
      <c r="C32" s="8" t="s">
        <v>186</v>
      </c>
      <c r="D32" s="8"/>
      <c r="E32" s="3">
        <v>65</v>
      </c>
      <c r="F32" s="4">
        <v>100</v>
      </c>
      <c r="G32" s="4">
        <v>100</v>
      </c>
      <c r="H32" s="4">
        <v>400</v>
      </c>
      <c r="I32" s="4">
        <v>10</v>
      </c>
      <c r="J32" s="4">
        <v>15</v>
      </c>
      <c r="K32" s="2">
        <v>1.0000000000000001E-5</v>
      </c>
      <c r="L32" s="2">
        <v>3.9999999999999998E-6</v>
      </c>
      <c r="M32" s="2"/>
      <c r="N32">
        <v>48</v>
      </c>
      <c r="O32" s="9">
        <v>4890000</v>
      </c>
      <c r="P32" s="3">
        <v>2.78</v>
      </c>
      <c r="Q32" s="9">
        <v>9.9999999999999994E-12</v>
      </c>
      <c r="R32" s="36">
        <v>2.9999999999999997E-4</v>
      </c>
      <c r="S32" s="33">
        <v>0.06</v>
      </c>
      <c r="T32" s="33">
        <v>35.119999999999997</v>
      </c>
      <c r="U32" s="21"/>
      <c r="W32" s="21" t="s">
        <v>300</v>
      </c>
      <c r="X32" s="21" t="s">
        <v>302</v>
      </c>
    </row>
    <row r="33" spans="1:24" x14ac:dyDescent="0.25">
      <c r="A33" s="16" t="s">
        <v>230</v>
      </c>
      <c r="B33" s="4"/>
      <c r="C33" s="4"/>
      <c r="D33" s="4"/>
      <c r="E33" s="6"/>
      <c r="F33" s="4"/>
      <c r="G33" s="4"/>
      <c r="H33" s="21"/>
      <c r="I33" s="21"/>
      <c r="J33" s="22"/>
      <c r="K33" s="22"/>
      <c r="L33" s="22"/>
      <c r="M33" s="22"/>
      <c r="N33" s="4"/>
      <c r="O33" s="25"/>
      <c r="P33" s="15"/>
      <c r="Q33" s="35"/>
      <c r="R33" s="15"/>
      <c r="S33" s="21"/>
      <c r="T33" s="21"/>
      <c r="U33" s="21"/>
      <c r="V33" s="21"/>
      <c r="W33" s="4"/>
      <c r="X33" s="21"/>
    </row>
    <row r="34" spans="1:24" x14ac:dyDescent="0.25">
      <c r="A34" s="16">
        <v>1</v>
      </c>
      <c r="B34" s="4">
        <v>5109</v>
      </c>
      <c r="C34" s="4"/>
      <c r="D34" s="4"/>
      <c r="E34" s="6"/>
      <c r="F34" s="4">
        <v>101</v>
      </c>
      <c r="G34" s="4">
        <v>601</v>
      </c>
      <c r="H34" s="21">
        <v>200</v>
      </c>
      <c r="I34" s="22" t="s">
        <v>6</v>
      </c>
      <c r="J34" s="22">
        <v>0.8</v>
      </c>
      <c r="K34" s="22"/>
      <c r="L34" s="22"/>
      <c r="M34" s="22"/>
      <c r="N34" s="4">
        <v>48</v>
      </c>
      <c r="O34" s="25">
        <v>4890000</v>
      </c>
      <c r="P34" s="15">
        <v>4.07</v>
      </c>
      <c r="Q34" s="35"/>
      <c r="R34" s="15"/>
      <c r="S34" s="21"/>
      <c r="T34" s="21"/>
      <c r="U34" s="21"/>
      <c r="V34" s="21"/>
      <c r="W34" s="4"/>
      <c r="X34" s="21" t="s">
        <v>147</v>
      </c>
    </row>
    <row r="35" spans="1:24" x14ac:dyDescent="0.25">
      <c r="A35" s="16" t="s">
        <v>452</v>
      </c>
      <c r="B35" s="4" t="s">
        <v>284</v>
      </c>
      <c r="C35" s="4" t="s">
        <v>186</v>
      </c>
      <c r="D35" s="4" t="s">
        <v>340</v>
      </c>
      <c r="E35" s="6">
        <v>65</v>
      </c>
      <c r="F35" s="4">
        <v>100</v>
      </c>
      <c r="G35" s="4">
        <v>600</v>
      </c>
      <c r="H35" s="4">
        <v>400</v>
      </c>
      <c r="I35" s="4">
        <v>10</v>
      </c>
      <c r="J35" s="22">
        <v>15</v>
      </c>
      <c r="K35" s="30">
        <v>1.0000000000000001E-5</v>
      </c>
      <c r="L35" s="30">
        <v>4.0000000000000001E-8</v>
      </c>
      <c r="M35" s="51">
        <v>0.9</v>
      </c>
      <c r="N35" s="4">
        <v>48</v>
      </c>
      <c r="O35" s="25">
        <v>4890000</v>
      </c>
      <c r="P35" s="15">
        <v>2.78</v>
      </c>
      <c r="Q35" s="43">
        <v>1.0000000000000001E-9</v>
      </c>
      <c r="R35" s="46">
        <v>5.0000000000000001E-4</v>
      </c>
      <c r="S35">
        <v>5.7000000000000002E-2</v>
      </c>
      <c r="T35">
        <v>12.98</v>
      </c>
      <c r="W35" t="s">
        <v>327</v>
      </c>
      <c r="X35" t="s">
        <v>347</v>
      </c>
    </row>
    <row r="36" spans="1:24" x14ac:dyDescent="0.25">
      <c r="A36" s="16" t="s">
        <v>309</v>
      </c>
      <c r="B36" s="4">
        <v>5643</v>
      </c>
      <c r="C36" s="4">
        <v>599</v>
      </c>
      <c r="D36" s="4"/>
      <c r="E36" s="6">
        <v>39</v>
      </c>
      <c r="F36" s="4">
        <v>100</v>
      </c>
      <c r="G36" s="4">
        <v>600</v>
      </c>
      <c r="H36" s="4">
        <v>200</v>
      </c>
      <c r="I36" s="22" t="s">
        <v>6</v>
      </c>
      <c r="J36" s="22">
        <v>0.8</v>
      </c>
      <c r="K36" s="22"/>
      <c r="L36" s="22"/>
      <c r="M36" s="22"/>
      <c r="N36" s="4">
        <v>48</v>
      </c>
      <c r="O36" s="25">
        <v>4890000</v>
      </c>
      <c r="P36" s="15">
        <v>2.78</v>
      </c>
      <c r="Q36" s="35"/>
      <c r="R36" s="15"/>
      <c r="S36" s="21">
        <v>0.5</v>
      </c>
      <c r="T36" s="21">
        <v>6.21</v>
      </c>
      <c r="U36" s="21"/>
      <c r="V36" s="21"/>
      <c r="W36" s="4" t="s">
        <v>202</v>
      </c>
      <c r="X36" s="21" t="s">
        <v>201</v>
      </c>
    </row>
    <row r="37" spans="1:24" x14ac:dyDescent="0.25">
      <c r="A37" s="16" t="s">
        <v>310</v>
      </c>
      <c r="B37" s="4">
        <v>6315</v>
      </c>
      <c r="C37" s="4">
        <v>529</v>
      </c>
      <c r="D37" s="4"/>
      <c r="E37" s="6">
        <v>33</v>
      </c>
      <c r="F37" s="4">
        <v>100</v>
      </c>
      <c r="G37" s="4">
        <v>600</v>
      </c>
      <c r="H37" s="4">
        <v>200</v>
      </c>
      <c r="I37" s="22" t="s">
        <v>6</v>
      </c>
      <c r="J37" s="22">
        <v>0.8</v>
      </c>
      <c r="K37" s="22"/>
      <c r="L37" s="22"/>
      <c r="M37" s="22"/>
      <c r="N37" s="4">
        <v>48</v>
      </c>
      <c r="O37" s="25">
        <v>4890000</v>
      </c>
      <c r="P37" s="15">
        <v>2.78</v>
      </c>
      <c r="Q37" s="35"/>
      <c r="R37" s="15"/>
      <c r="S37" s="21">
        <v>0.5</v>
      </c>
      <c r="T37" s="21">
        <v>10.8</v>
      </c>
      <c r="U37" s="21"/>
      <c r="V37" s="21"/>
      <c r="W37" s="4" t="s">
        <v>202</v>
      </c>
      <c r="X37" s="21" t="s">
        <v>203</v>
      </c>
    </row>
    <row r="38" spans="1:24" x14ac:dyDescent="0.25">
      <c r="A38" s="16" t="s">
        <v>450</v>
      </c>
      <c r="B38" s="4" t="s">
        <v>284</v>
      </c>
      <c r="C38" s="4" t="s">
        <v>186</v>
      </c>
      <c r="D38" s="4" t="s">
        <v>338</v>
      </c>
      <c r="E38" s="6">
        <v>65</v>
      </c>
      <c r="F38" s="4">
        <v>100</v>
      </c>
      <c r="G38" s="4">
        <v>600</v>
      </c>
      <c r="H38" s="4">
        <v>400</v>
      </c>
      <c r="I38" s="4">
        <v>10</v>
      </c>
      <c r="J38" s="22">
        <v>15</v>
      </c>
      <c r="K38" s="30">
        <v>1.0000000000000001E-5</v>
      </c>
      <c r="L38" s="30">
        <v>4.0000000000000001E-8</v>
      </c>
      <c r="M38" s="51">
        <v>0.9</v>
      </c>
      <c r="N38" s="4">
        <v>48</v>
      </c>
      <c r="O38" s="25">
        <v>4890000</v>
      </c>
      <c r="P38" s="15">
        <v>2.78</v>
      </c>
      <c r="Q38" s="43">
        <v>1.0000000000000001E-9</v>
      </c>
      <c r="R38" s="46">
        <v>5.0000000000000001E-4</v>
      </c>
      <c r="S38">
        <v>6.8000000000000005E-2</v>
      </c>
      <c r="T38">
        <v>8.7200000000000006</v>
      </c>
      <c r="W38" t="s">
        <v>339</v>
      </c>
      <c r="X38" s="21" t="s">
        <v>451</v>
      </c>
    </row>
    <row r="39" spans="1:24" x14ac:dyDescent="0.25">
      <c r="A39" s="16" t="s">
        <v>187</v>
      </c>
      <c r="B39" s="4"/>
      <c r="C39" s="4"/>
      <c r="D39" s="4"/>
      <c r="E39" s="6"/>
      <c r="F39" s="4"/>
      <c r="G39" s="4"/>
      <c r="H39" s="4"/>
      <c r="I39" s="21"/>
      <c r="J39" s="22"/>
      <c r="K39" s="22"/>
      <c r="L39" s="22"/>
      <c r="M39" s="22"/>
      <c r="N39" s="4"/>
      <c r="O39" s="25"/>
      <c r="P39" s="15"/>
      <c r="Q39" s="35"/>
      <c r="R39" s="15"/>
      <c r="S39" s="21"/>
      <c r="T39" s="21"/>
      <c r="U39" s="21"/>
      <c r="V39" s="25"/>
      <c r="W39" s="4"/>
      <c r="X39" s="4"/>
    </row>
    <row r="40" spans="1:24" x14ac:dyDescent="0.25">
      <c r="A40" s="6">
        <v>1</v>
      </c>
      <c r="B40" s="4">
        <v>3065</v>
      </c>
      <c r="C40" s="4" t="s">
        <v>186</v>
      </c>
      <c r="D40" s="4"/>
      <c r="E40" s="6">
        <v>65</v>
      </c>
      <c r="F40" s="4">
        <v>100</v>
      </c>
      <c r="G40" s="4">
        <v>600</v>
      </c>
      <c r="H40" s="4">
        <v>20</v>
      </c>
      <c r="I40" s="22" t="s">
        <v>6</v>
      </c>
      <c r="J40" s="22">
        <v>0.8</v>
      </c>
      <c r="K40" s="22"/>
      <c r="L40" s="22"/>
      <c r="M40" s="22"/>
      <c r="N40" s="4">
        <v>48</v>
      </c>
      <c r="O40" s="25">
        <v>4890000</v>
      </c>
      <c r="P40" s="15">
        <v>2.78</v>
      </c>
      <c r="Q40" s="35"/>
      <c r="R40" s="15"/>
      <c r="S40" s="21"/>
      <c r="T40" s="21"/>
      <c r="U40" s="21"/>
      <c r="V40" s="25"/>
      <c r="W40" s="4"/>
      <c r="X40" s="4" t="s">
        <v>188</v>
      </c>
    </row>
    <row r="41" spans="1:24" x14ac:dyDescent="0.25">
      <c r="A41" s="6">
        <v>2</v>
      </c>
      <c r="B41" s="4">
        <v>3065</v>
      </c>
      <c r="C41" s="4" t="s">
        <v>186</v>
      </c>
      <c r="D41" s="4"/>
      <c r="E41" s="6">
        <v>65</v>
      </c>
      <c r="F41" s="4">
        <v>100</v>
      </c>
      <c r="G41" s="4">
        <v>600</v>
      </c>
      <c r="H41" s="4">
        <v>60</v>
      </c>
      <c r="I41" s="22" t="s">
        <v>6</v>
      </c>
      <c r="J41" s="22">
        <v>0.8</v>
      </c>
      <c r="K41" s="22"/>
      <c r="L41" s="22"/>
      <c r="M41" s="22"/>
      <c r="N41" s="4">
        <v>48</v>
      </c>
      <c r="O41" s="25">
        <v>4890000</v>
      </c>
      <c r="P41" s="15">
        <v>2.78</v>
      </c>
      <c r="Q41" s="35"/>
      <c r="R41" s="15"/>
      <c r="S41" s="21"/>
      <c r="T41" s="21"/>
      <c r="U41" s="21"/>
      <c r="V41" s="25"/>
      <c r="W41" s="4"/>
      <c r="X41" s="4"/>
    </row>
    <row r="42" spans="1:24" x14ac:dyDescent="0.25">
      <c r="A42" s="6">
        <v>3</v>
      </c>
      <c r="B42" s="4">
        <v>3065</v>
      </c>
      <c r="C42" s="4" t="s">
        <v>186</v>
      </c>
      <c r="D42" s="4"/>
      <c r="E42" s="6">
        <v>65</v>
      </c>
      <c r="F42" s="4">
        <v>100</v>
      </c>
      <c r="G42" s="4">
        <v>600</v>
      </c>
      <c r="H42" s="4">
        <v>100</v>
      </c>
      <c r="I42" s="22" t="s">
        <v>6</v>
      </c>
      <c r="J42" s="22">
        <v>0.8</v>
      </c>
      <c r="K42" s="22"/>
      <c r="L42" s="22"/>
      <c r="M42" s="22"/>
      <c r="N42" s="4">
        <v>48</v>
      </c>
      <c r="O42" s="25">
        <v>4890000</v>
      </c>
      <c r="P42" s="15">
        <v>2.78</v>
      </c>
      <c r="Q42" s="35"/>
      <c r="R42" s="15"/>
      <c r="S42" s="21">
        <v>2.4500000000000002</v>
      </c>
      <c r="T42" s="21">
        <v>4.91</v>
      </c>
      <c r="U42" s="21"/>
      <c r="V42" s="25"/>
      <c r="W42" s="4"/>
      <c r="X42" s="4"/>
    </row>
    <row r="43" spans="1:24" x14ac:dyDescent="0.25">
      <c r="A43" s="6" t="s">
        <v>185</v>
      </c>
      <c r="B43" s="4"/>
      <c r="C43" s="4"/>
      <c r="D43" s="4"/>
      <c r="E43" s="6"/>
      <c r="F43" s="4"/>
      <c r="G43" s="4"/>
      <c r="H43" s="21"/>
      <c r="I43" s="21"/>
      <c r="J43" s="22"/>
      <c r="K43" s="22"/>
      <c r="L43" s="22"/>
      <c r="M43" s="22"/>
      <c r="N43" s="4"/>
      <c r="O43" s="25"/>
      <c r="P43" s="15"/>
      <c r="Q43" s="35"/>
      <c r="R43" s="15"/>
      <c r="S43" s="21"/>
      <c r="T43" s="21"/>
      <c r="U43" s="21"/>
      <c r="V43" s="25"/>
      <c r="W43" s="21"/>
      <c r="X43" s="21"/>
    </row>
    <row r="44" spans="1:24" x14ac:dyDescent="0.25">
      <c r="A44" s="6">
        <v>5</v>
      </c>
      <c r="B44" s="4">
        <v>3065</v>
      </c>
      <c r="C44" s="4" t="s">
        <v>186</v>
      </c>
      <c r="D44" s="4"/>
      <c r="E44" s="6">
        <v>65</v>
      </c>
      <c r="F44" s="4">
        <v>100</v>
      </c>
      <c r="G44" s="4">
        <v>600</v>
      </c>
      <c r="H44" s="4">
        <v>400</v>
      </c>
      <c r="I44" s="21">
        <v>10</v>
      </c>
      <c r="J44" s="22">
        <v>15</v>
      </c>
      <c r="K44" s="22"/>
      <c r="L44" s="22"/>
      <c r="M44" s="22"/>
      <c r="N44" s="4">
        <v>48</v>
      </c>
      <c r="O44" s="25">
        <v>4890000</v>
      </c>
      <c r="P44" s="15">
        <v>2.78</v>
      </c>
      <c r="Q44" s="35"/>
      <c r="R44" s="15"/>
      <c r="S44" s="21">
        <v>0.13</v>
      </c>
      <c r="T44" s="21">
        <v>3.92</v>
      </c>
      <c r="U44" s="4">
        <v>2245</v>
      </c>
      <c r="V44" s="25"/>
      <c r="W44" s="21" t="s">
        <v>189</v>
      </c>
      <c r="X44" s="21" t="s">
        <v>190</v>
      </c>
    </row>
    <row r="45" spans="1:24" x14ac:dyDescent="0.25">
      <c r="A45" s="6">
        <v>4</v>
      </c>
      <c r="B45" s="4">
        <v>3065</v>
      </c>
      <c r="C45" s="4" t="s">
        <v>186</v>
      </c>
      <c r="D45" s="4"/>
      <c r="E45" s="6">
        <v>65</v>
      </c>
      <c r="F45" s="4">
        <v>100</v>
      </c>
      <c r="G45" s="4">
        <v>600</v>
      </c>
      <c r="H45" s="4">
        <v>100</v>
      </c>
      <c r="I45" s="21">
        <v>10</v>
      </c>
      <c r="J45" s="22">
        <v>1</v>
      </c>
      <c r="K45" s="22"/>
      <c r="L45" s="22"/>
      <c r="M45" s="22"/>
      <c r="N45" s="4">
        <v>48</v>
      </c>
      <c r="O45" s="25">
        <v>4890000</v>
      </c>
      <c r="P45" s="15">
        <v>2.78</v>
      </c>
      <c r="Q45" s="35"/>
      <c r="R45" s="15"/>
      <c r="S45" s="21">
        <v>2.41</v>
      </c>
      <c r="T45" s="21">
        <v>3.73</v>
      </c>
      <c r="U45" s="4">
        <v>877</v>
      </c>
      <c r="V45" s="25"/>
      <c r="W45" s="21" t="s">
        <v>191</v>
      </c>
      <c r="X45" s="21" t="s">
        <v>192</v>
      </c>
    </row>
    <row r="46" spans="1:24" x14ac:dyDescent="0.25">
      <c r="A46" s="6">
        <v>6</v>
      </c>
      <c r="B46" s="4">
        <v>3065</v>
      </c>
      <c r="C46" s="4" t="s">
        <v>186</v>
      </c>
      <c r="D46" s="4"/>
      <c r="E46" s="6">
        <v>65</v>
      </c>
      <c r="F46" s="4">
        <v>100</v>
      </c>
      <c r="G46" s="4">
        <v>600</v>
      </c>
      <c r="H46" s="4">
        <v>50</v>
      </c>
      <c r="I46" s="21">
        <v>10</v>
      </c>
      <c r="J46" s="22">
        <v>1</v>
      </c>
      <c r="K46" s="22"/>
      <c r="L46" s="22"/>
      <c r="M46" s="22"/>
      <c r="N46" s="4">
        <v>48</v>
      </c>
      <c r="O46" s="25">
        <v>4890000</v>
      </c>
      <c r="P46" s="15">
        <v>2.78</v>
      </c>
      <c r="Q46" s="35"/>
      <c r="R46" s="15"/>
      <c r="S46" s="21">
        <v>47.82</v>
      </c>
      <c r="T46" s="21">
        <v>3.36</v>
      </c>
      <c r="U46" s="4">
        <v>689</v>
      </c>
      <c r="V46" s="25"/>
      <c r="W46" s="21" t="s">
        <v>197</v>
      </c>
      <c r="X46" s="21" t="s">
        <v>194</v>
      </c>
    </row>
    <row r="47" spans="1:24" x14ac:dyDescent="0.25">
      <c r="A47" s="6">
        <v>7</v>
      </c>
      <c r="B47" s="4">
        <v>3065</v>
      </c>
      <c r="C47" s="4" t="s">
        <v>186</v>
      </c>
      <c r="D47" s="4"/>
      <c r="E47" s="6">
        <v>100</v>
      </c>
      <c r="F47" s="4">
        <v>100</v>
      </c>
      <c r="G47" s="4">
        <v>600</v>
      </c>
      <c r="H47" s="4">
        <v>400</v>
      </c>
      <c r="I47" s="21">
        <v>10</v>
      </c>
      <c r="J47" s="22">
        <v>15</v>
      </c>
      <c r="K47" s="22"/>
      <c r="L47" s="22"/>
      <c r="M47" s="22"/>
      <c r="N47" s="4">
        <v>48</v>
      </c>
      <c r="O47" s="25">
        <v>4890000</v>
      </c>
      <c r="P47" s="15">
        <v>2.78</v>
      </c>
      <c r="Q47" s="35"/>
      <c r="R47" s="15"/>
      <c r="S47" s="21">
        <v>0.2</v>
      </c>
      <c r="T47" s="21">
        <v>4.9000000000000004</v>
      </c>
      <c r="U47" s="4">
        <v>1985</v>
      </c>
      <c r="V47" s="25"/>
      <c r="W47" s="21" t="s">
        <v>199</v>
      </c>
      <c r="X47" s="21" t="s">
        <v>198</v>
      </c>
    </row>
    <row r="48" spans="1:24" x14ac:dyDescent="0.25">
      <c r="A48" s="6">
        <v>8</v>
      </c>
      <c r="B48" s="4">
        <v>3065</v>
      </c>
      <c r="C48" s="4" t="s">
        <v>186</v>
      </c>
      <c r="D48" s="4"/>
      <c r="E48" s="6">
        <v>200</v>
      </c>
      <c r="F48" s="4">
        <v>100</v>
      </c>
      <c r="G48" s="4">
        <v>600</v>
      </c>
      <c r="H48" s="4">
        <v>400</v>
      </c>
      <c r="I48" s="21">
        <v>10</v>
      </c>
      <c r="J48" s="22">
        <v>15</v>
      </c>
      <c r="K48" s="22"/>
      <c r="L48" s="22"/>
      <c r="M48" s="22"/>
      <c r="N48" s="4">
        <v>48</v>
      </c>
      <c r="O48" s="25">
        <v>4890000</v>
      </c>
      <c r="P48" s="15">
        <v>2.78</v>
      </c>
      <c r="Q48" s="35"/>
      <c r="R48" s="15"/>
      <c r="S48" s="21">
        <v>1.07</v>
      </c>
      <c r="T48" s="21">
        <v>6.41</v>
      </c>
      <c r="U48" s="4">
        <v>1004</v>
      </c>
      <c r="V48" s="25"/>
      <c r="W48" s="21" t="s">
        <v>204</v>
      </c>
      <c r="X48" s="21" t="s">
        <v>200</v>
      </c>
    </row>
    <row r="49" spans="1:24" x14ac:dyDescent="0.25">
      <c r="A49" s="6"/>
      <c r="B49" s="4"/>
      <c r="C49" s="4"/>
      <c r="D49" s="4"/>
      <c r="E49" s="6"/>
      <c r="F49" s="4"/>
      <c r="G49" s="4"/>
      <c r="H49" s="4"/>
      <c r="I49" s="21"/>
      <c r="J49" s="22"/>
      <c r="K49" s="22"/>
      <c r="L49" s="22"/>
      <c r="M49" s="22"/>
      <c r="N49" s="4"/>
      <c r="O49" s="25"/>
      <c r="P49" s="15"/>
      <c r="Q49" s="35"/>
      <c r="R49" s="15"/>
      <c r="S49" s="21"/>
      <c r="T49" s="21"/>
      <c r="U49" s="4"/>
      <c r="V49" s="25"/>
      <c r="W49" s="21"/>
      <c r="X49" s="21"/>
    </row>
    <row r="50" spans="1:24" x14ac:dyDescent="0.25">
      <c r="A50" s="16" t="s">
        <v>205</v>
      </c>
      <c r="B50" s="4"/>
      <c r="C50" s="4"/>
      <c r="D50" s="4"/>
      <c r="E50" s="6"/>
      <c r="F50" s="4"/>
      <c r="G50" s="4"/>
      <c r="H50" s="21"/>
      <c r="I50" s="21"/>
      <c r="J50" s="22"/>
      <c r="K50" s="22"/>
      <c r="L50" s="22"/>
      <c r="M50" s="22"/>
      <c r="N50" s="4"/>
      <c r="O50" s="25"/>
      <c r="P50" s="15"/>
      <c r="Q50" s="35"/>
      <c r="R50" s="15"/>
      <c r="S50" s="21"/>
      <c r="T50" s="21"/>
      <c r="U50" s="21"/>
      <c r="V50" s="21"/>
      <c r="W50" s="21"/>
      <c r="X50" s="21"/>
    </row>
    <row r="51" spans="1:24" x14ac:dyDescent="0.25">
      <c r="A51" s="16">
        <v>1</v>
      </c>
      <c r="B51" s="4">
        <v>3065</v>
      </c>
      <c r="C51" s="4" t="s">
        <v>186</v>
      </c>
      <c r="D51" s="4"/>
      <c r="E51" s="6">
        <v>65</v>
      </c>
      <c r="F51" s="4">
        <v>300</v>
      </c>
      <c r="G51" s="4">
        <v>100</v>
      </c>
      <c r="H51" s="4">
        <v>100</v>
      </c>
      <c r="I51" s="21">
        <v>10</v>
      </c>
      <c r="J51" s="22">
        <v>1</v>
      </c>
      <c r="K51" s="22"/>
      <c r="L51" s="22"/>
      <c r="M51" s="22"/>
      <c r="N51" s="4">
        <v>48</v>
      </c>
      <c r="O51" s="25">
        <v>4890000</v>
      </c>
      <c r="P51" s="15">
        <v>2.78</v>
      </c>
      <c r="Q51" s="35"/>
      <c r="R51" s="15"/>
      <c r="S51" s="21">
        <v>2.4900000000000002</v>
      </c>
      <c r="T51" s="21">
        <v>3.18</v>
      </c>
      <c r="U51" s="4">
        <v>876</v>
      </c>
      <c r="V51" s="21"/>
      <c r="W51" s="21" t="s">
        <v>206</v>
      </c>
      <c r="X51" s="21" t="s">
        <v>212</v>
      </c>
    </row>
    <row r="52" spans="1:24" x14ac:dyDescent="0.25">
      <c r="A52" s="6">
        <v>2</v>
      </c>
      <c r="B52" s="4">
        <v>3065</v>
      </c>
      <c r="C52" s="4" t="s">
        <v>186</v>
      </c>
      <c r="D52" s="4"/>
      <c r="E52" s="6">
        <v>65</v>
      </c>
      <c r="F52" s="4">
        <v>300</v>
      </c>
      <c r="G52" s="4">
        <v>100</v>
      </c>
      <c r="H52" s="4">
        <v>400</v>
      </c>
      <c r="I52" s="21">
        <v>10</v>
      </c>
      <c r="J52" s="22">
        <v>15</v>
      </c>
      <c r="K52" s="22"/>
      <c r="L52" s="22"/>
      <c r="M52" s="22"/>
      <c r="N52" s="4">
        <v>48</v>
      </c>
      <c r="O52" s="25">
        <v>4890000</v>
      </c>
      <c r="P52" s="15">
        <v>2.78</v>
      </c>
      <c r="Q52" s="35"/>
      <c r="R52" s="15"/>
      <c r="S52" s="21">
        <v>0.13</v>
      </c>
      <c r="T52" s="21">
        <v>3.83</v>
      </c>
      <c r="U52" s="4">
        <v>2274</v>
      </c>
      <c r="V52" s="25"/>
      <c r="W52" s="21" t="s">
        <v>208</v>
      </c>
      <c r="X52" s="21" t="s">
        <v>213</v>
      </c>
    </row>
    <row r="53" spans="1:24" x14ac:dyDescent="0.25">
      <c r="A53" s="6">
        <v>3</v>
      </c>
      <c r="B53" s="4">
        <v>3065</v>
      </c>
      <c r="C53" s="4" t="s">
        <v>186</v>
      </c>
      <c r="D53" s="4"/>
      <c r="E53" s="6">
        <v>65</v>
      </c>
      <c r="F53" s="4">
        <v>100</v>
      </c>
      <c r="G53" s="4">
        <v>300</v>
      </c>
      <c r="H53" s="4">
        <v>400</v>
      </c>
      <c r="I53" s="21">
        <v>10</v>
      </c>
      <c r="J53" s="22">
        <v>15</v>
      </c>
      <c r="K53" s="22"/>
      <c r="L53" s="22"/>
      <c r="M53" s="22"/>
      <c r="N53" s="4">
        <v>48</v>
      </c>
      <c r="O53" s="25">
        <v>4890000</v>
      </c>
      <c r="P53" s="15">
        <v>2.78</v>
      </c>
      <c r="Q53" s="35"/>
      <c r="R53" s="15"/>
      <c r="S53" s="21">
        <v>0.13</v>
      </c>
      <c r="T53" s="21">
        <v>3.88</v>
      </c>
      <c r="U53" s="4">
        <v>2248</v>
      </c>
      <c r="V53" s="25"/>
      <c r="W53" s="21" t="s">
        <v>209</v>
      </c>
      <c r="X53" s="21" t="s">
        <v>207</v>
      </c>
    </row>
    <row r="54" spans="1:24" x14ac:dyDescent="0.25">
      <c r="A54" s="6">
        <v>4</v>
      </c>
      <c r="B54" s="4">
        <v>3065</v>
      </c>
      <c r="C54" s="4" t="s">
        <v>186</v>
      </c>
      <c r="D54" s="4"/>
      <c r="E54" s="6">
        <v>65</v>
      </c>
      <c r="F54" s="4">
        <v>300</v>
      </c>
      <c r="G54" s="4">
        <v>100</v>
      </c>
      <c r="H54" s="4">
        <v>50</v>
      </c>
      <c r="I54" s="21">
        <v>10</v>
      </c>
      <c r="J54" s="22">
        <v>1</v>
      </c>
      <c r="K54" s="22"/>
      <c r="L54" s="22"/>
      <c r="M54" s="22"/>
      <c r="N54" s="4">
        <v>48</v>
      </c>
      <c r="O54" s="25">
        <v>4890000</v>
      </c>
      <c r="P54" s="15">
        <v>2.78</v>
      </c>
      <c r="Q54" s="35"/>
      <c r="R54" s="15"/>
      <c r="S54" s="21">
        <v>9.86</v>
      </c>
      <c r="T54" s="21">
        <v>3.3</v>
      </c>
      <c r="U54" s="4">
        <v>852</v>
      </c>
      <c r="V54" s="25"/>
      <c r="W54" s="21" t="s">
        <v>210</v>
      </c>
      <c r="X54" s="21" t="s">
        <v>211</v>
      </c>
    </row>
    <row r="55" spans="1:24" x14ac:dyDescent="0.25">
      <c r="A55" s="6">
        <v>5</v>
      </c>
      <c r="B55" s="4">
        <v>3065</v>
      </c>
      <c r="C55" s="4" t="s">
        <v>186</v>
      </c>
      <c r="D55" s="4"/>
      <c r="E55" s="6">
        <v>65</v>
      </c>
      <c r="F55" s="4">
        <v>300</v>
      </c>
      <c r="G55" s="4">
        <v>300</v>
      </c>
      <c r="H55" s="4">
        <v>400</v>
      </c>
      <c r="I55" s="21">
        <v>10</v>
      </c>
      <c r="J55" s="22">
        <v>1</v>
      </c>
      <c r="K55" s="22"/>
      <c r="L55" s="22"/>
      <c r="M55" s="22"/>
      <c r="N55" s="4">
        <v>48</v>
      </c>
      <c r="O55" s="25">
        <v>4890000</v>
      </c>
      <c r="P55" s="15">
        <v>2.78</v>
      </c>
      <c r="Q55" s="35"/>
      <c r="R55" s="15"/>
      <c r="S55" s="21">
        <v>0.25</v>
      </c>
      <c r="T55" s="21">
        <v>3.82</v>
      </c>
      <c r="U55" s="21"/>
      <c r="V55" s="25"/>
      <c r="W55" s="21" t="s">
        <v>214</v>
      </c>
      <c r="X55" s="21" t="s">
        <v>215</v>
      </c>
    </row>
    <row r="56" spans="1:24" x14ac:dyDescent="0.25">
      <c r="A56" s="6"/>
      <c r="B56" s="4"/>
      <c r="C56" s="4"/>
      <c r="D56" s="4"/>
      <c r="E56" s="6"/>
      <c r="F56" s="4"/>
      <c r="G56" s="4"/>
      <c r="H56" s="21"/>
      <c r="I56" s="21"/>
      <c r="J56" s="22"/>
      <c r="K56" s="22"/>
      <c r="L56" s="22"/>
      <c r="M56" s="22"/>
      <c r="N56" s="4"/>
      <c r="O56" s="25"/>
      <c r="P56" s="15"/>
      <c r="Q56" s="35"/>
      <c r="R56" s="15"/>
      <c r="S56" s="21"/>
      <c r="T56" s="21"/>
      <c r="U56" s="21"/>
      <c r="V56" s="25"/>
      <c r="W56" s="21"/>
      <c r="X56" s="21"/>
    </row>
    <row r="57" spans="1:24" x14ac:dyDescent="0.25">
      <c r="A57" s="16" t="s">
        <v>232</v>
      </c>
      <c r="B57" s="4"/>
      <c r="C57" s="4"/>
      <c r="D57" s="4"/>
      <c r="E57" s="6"/>
      <c r="F57" s="4"/>
      <c r="G57" s="4"/>
      <c r="H57" s="21"/>
      <c r="I57" s="21"/>
      <c r="J57" s="22"/>
      <c r="K57" s="22"/>
      <c r="L57" s="22"/>
      <c r="M57" s="22"/>
      <c r="N57" s="4"/>
      <c r="O57" s="25"/>
      <c r="P57" s="15"/>
      <c r="Q57" s="35"/>
      <c r="R57" s="15"/>
      <c r="S57" s="21"/>
      <c r="T57" s="21"/>
      <c r="U57" s="21"/>
      <c r="V57" s="25"/>
      <c r="W57" s="21"/>
      <c r="X57" s="21"/>
    </row>
    <row r="58" spans="1:24" x14ac:dyDescent="0.25">
      <c r="A58" s="16">
        <v>1</v>
      </c>
      <c r="B58" s="4">
        <v>2702</v>
      </c>
      <c r="C58" s="4">
        <v>903</v>
      </c>
      <c r="D58" s="4"/>
      <c r="E58" s="6">
        <v>237</v>
      </c>
      <c r="F58" s="4">
        <v>300</v>
      </c>
      <c r="G58" s="4">
        <v>100</v>
      </c>
      <c r="H58" s="4">
        <v>200</v>
      </c>
      <c r="I58" s="22">
        <v>10</v>
      </c>
      <c r="J58" s="22">
        <v>1</v>
      </c>
      <c r="K58" s="22"/>
      <c r="L58" s="22"/>
      <c r="M58" s="22"/>
      <c r="N58" s="4">
        <v>48</v>
      </c>
      <c r="O58" s="25">
        <v>4890000</v>
      </c>
      <c r="P58" s="15">
        <v>2.78</v>
      </c>
      <c r="Q58" s="35"/>
      <c r="R58" s="15"/>
      <c r="S58" s="21">
        <v>86.65</v>
      </c>
      <c r="T58" s="21">
        <v>0.38</v>
      </c>
      <c r="U58" s="21"/>
      <c r="V58" s="21"/>
      <c r="W58" s="4"/>
      <c r="X58" s="4" t="s">
        <v>231</v>
      </c>
    </row>
    <row r="59" spans="1:24" x14ac:dyDescent="0.25">
      <c r="A59" s="6">
        <v>2</v>
      </c>
      <c r="B59" s="4">
        <v>2702</v>
      </c>
      <c r="C59" s="4">
        <v>903</v>
      </c>
      <c r="D59" s="4"/>
      <c r="E59" s="6">
        <v>237</v>
      </c>
      <c r="F59" s="4">
        <v>100</v>
      </c>
      <c r="G59" s="4">
        <v>300</v>
      </c>
      <c r="H59" s="4">
        <v>200</v>
      </c>
      <c r="I59" s="22">
        <v>10</v>
      </c>
      <c r="J59" s="22">
        <v>1</v>
      </c>
      <c r="K59" s="22"/>
      <c r="L59" s="22"/>
      <c r="M59" s="22"/>
      <c r="N59" s="4">
        <v>48</v>
      </c>
      <c r="O59" s="25">
        <v>4890000</v>
      </c>
      <c r="P59" s="15">
        <v>2.78</v>
      </c>
      <c r="Q59" s="35"/>
      <c r="R59" s="15"/>
      <c r="S59" s="21">
        <v>38.700000000000003</v>
      </c>
      <c r="T59" s="21">
        <v>2.38</v>
      </c>
      <c r="U59" s="21"/>
      <c r="V59" s="25"/>
      <c r="W59" s="21"/>
      <c r="X59" s="4" t="s">
        <v>233</v>
      </c>
    </row>
    <row r="60" spans="1:24" x14ac:dyDescent="0.25">
      <c r="A60" s="6"/>
      <c r="B60" s="4"/>
      <c r="C60" s="4"/>
      <c r="D60" s="4"/>
      <c r="E60" s="6"/>
      <c r="F60" s="4"/>
      <c r="G60" s="4"/>
      <c r="H60" s="21"/>
      <c r="I60" s="21"/>
      <c r="J60" s="22"/>
      <c r="K60" s="22"/>
      <c r="L60" s="22"/>
      <c r="M60" s="22"/>
      <c r="N60" s="4"/>
      <c r="O60" s="25"/>
      <c r="P60" s="15"/>
      <c r="Q60" s="35"/>
      <c r="R60" s="15"/>
      <c r="S60" s="21"/>
      <c r="T60" s="21"/>
      <c r="U60" s="21"/>
      <c r="V60" s="21"/>
      <c r="W60" s="21"/>
      <c r="X60" s="21"/>
    </row>
    <row r="61" spans="1:24" x14ac:dyDescent="0.25">
      <c r="A61" s="16" t="s">
        <v>234</v>
      </c>
      <c r="B61" s="4"/>
      <c r="C61" s="4"/>
      <c r="D61" s="4"/>
      <c r="E61" s="6"/>
      <c r="F61" s="4"/>
      <c r="G61" s="4"/>
      <c r="H61" s="21"/>
      <c r="I61" s="21"/>
      <c r="J61" s="22"/>
      <c r="K61" s="22"/>
      <c r="L61" s="22"/>
      <c r="M61" s="22"/>
      <c r="N61" s="4"/>
      <c r="O61" s="25"/>
      <c r="P61" s="15"/>
      <c r="Q61" s="35"/>
      <c r="R61" s="15"/>
      <c r="S61" s="21"/>
      <c r="T61" s="21"/>
      <c r="U61" s="21"/>
      <c r="V61" s="21"/>
      <c r="W61" s="21"/>
      <c r="X61" s="21"/>
    </row>
    <row r="62" spans="1:24" x14ac:dyDescent="0.25">
      <c r="A62" s="6">
        <v>1</v>
      </c>
      <c r="B62" s="4">
        <v>3065</v>
      </c>
      <c r="C62" s="4">
        <v>625</v>
      </c>
      <c r="D62" s="4"/>
      <c r="E62" s="6">
        <v>65</v>
      </c>
      <c r="F62" s="4">
        <v>300</v>
      </c>
      <c r="G62" s="4">
        <v>100</v>
      </c>
      <c r="H62" s="4">
        <v>200</v>
      </c>
      <c r="I62" s="4">
        <v>10</v>
      </c>
      <c r="J62" s="22">
        <v>1</v>
      </c>
      <c r="K62" s="22"/>
      <c r="L62" s="22"/>
      <c r="M62" s="22"/>
      <c r="N62" s="4">
        <v>48</v>
      </c>
      <c r="O62" s="25">
        <v>4890000</v>
      </c>
      <c r="P62" s="15">
        <v>2.78</v>
      </c>
      <c r="Q62" s="35"/>
      <c r="R62" s="15"/>
      <c r="S62" s="21"/>
      <c r="T62" s="21"/>
      <c r="U62" s="21"/>
      <c r="V62" s="25"/>
      <c r="W62" s="21"/>
      <c r="X62" s="21" t="s">
        <v>235</v>
      </c>
    </row>
    <row r="63" spans="1:24" x14ac:dyDescent="0.25">
      <c r="A63" s="6">
        <v>2</v>
      </c>
      <c r="B63" s="4">
        <v>3065</v>
      </c>
      <c r="C63" s="4">
        <v>625</v>
      </c>
      <c r="D63" s="4"/>
      <c r="E63" s="6">
        <v>65</v>
      </c>
      <c r="F63" s="4">
        <v>300</v>
      </c>
      <c r="G63" s="4">
        <v>100</v>
      </c>
      <c r="H63" s="4">
        <v>200</v>
      </c>
      <c r="I63" s="4">
        <v>10</v>
      </c>
      <c r="J63" s="22">
        <v>1</v>
      </c>
      <c r="K63" s="22"/>
      <c r="L63" s="22"/>
      <c r="M63" s="22"/>
      <c r="N63" s="4">
        <v>48</v>
      </c>
      <c r="O63" s="25">
        <v>4890000</v>
      </c>
      <c r="P63" s="15">
        <v>2.78</v>
      </c>
      <c r="Q63" s="35"/>
      <c r="R63" s="15"/>
      <c r="S63" s="21"/>
      <c r="T63" s="21"/>
      <c r="U63" s="21"/>
      <c r="V63" s="21"/>
      <c r="W63" s="21"/>
      <c r="X63" s="21" t="s">
        <v>236</v>
      </c>
    </row>
    <row r="64" spans="1:24" x14ac:dyDescent="0.25">
      <c r="A64" s="16">
        <v>3</v>
      </c>
      <c r="B64" s="4">
        <v>3065</v>
      </c>
      <c r="C64" s="4">
        <v>625</v>
      </c>
      <c r="D64" s="4"/>
      <c r="E64" s="6">
        <v>65</v>
      </c>
      <c r="F64" s="4">
        <v>300</v>
      </c>
      <c r="G64" s="4">
        <v>100</v>
      </c>
      <c r="H64" s="4">
        <v>200</v>
      </c>
      <c r="I64" s="4">
        <v>10</v>
      </c>
      <c r="J64" s="22">
        <v>1</v>
      </c>
      <c r="K64" s="22"/>
      <c r="L64" s="22"/>
      <c r="M64" s="22"/>
      <c r="N64" s="4">
        <v>48</v>
      </c>
      <c r="O64" s="25">
        <v>4890000</v>
      </c>
      <c r="P64" s="15">
        <v>2.78</v>
      </c>
      <c r="Q64" s="35"/>
      <c r="R64" s="15"/>
      <c r="S64" s="21"/>
      <c r="T64" s="21"/>
      <c r="U64" s="21"/>
      <c r="V64" s="21"/>
      <c r="W64" s="21"/>
      <c r="X64" s="21" t="s">
        <v>237</v>
      </c>
    </row>
    <row r="65" spans="1:24" x14ac:dyDescent="0.25">
      <c r="A65" s="6">
        <v>4</v>
      </c>
      <c r="B65" s="4">
        <v>3065</v>
      </c>
      <c r="C65" s="4">
        <v>625</v>
      </c>
      <c r="D65" s="4"/>
      <c r="E65" s="6">
        <v>65</v>
      </c>
      <c r="F65" s="4">
        <v>300</v>
      </c>
      <c r="G65" s="4">
        <v>100</v>
      </c>
      <c r="H65" s="4">
        <v>2000</v>
      </c>
      <c r="I65" s="4">
        <v>10</v>
      </c>
      <c r="J65" s="22">
        <v>1</v>
      </c>
      <c r="K65" s="22"/>
      <c r="L65" s="22"/>
      <c r="M65" s="22"/>
      <c r="N65" s="4">
        <v>48</v>
      </c>
      <c r="O65" s="25">
        <v>4890000</v>
      </c>
      <c r="P65" s="15">
        <v>2.78</v>
      </c>
      <c r="Q65" s="35"/>
      <c r="R65" s="15"/>
      <c r="S65" s="4"/>
      <c r="T65" s="4"/>
      <c r="U65" s="4"/>
      <c r="V65" s="21"/>
      <c r="W65" s="21"/>
      <c r="X65" s="21" t="s">
        <v>238</v>
      </c>
    </row>
    <row r="66" spans="1:24" x14ac:dyDescent="0.25">
      <c r="A66" s="6">
        <v>5</v>
      </c>
      <c r="B66" s="4">
        <v>3065</v>
      </c>
      <c r="C66" s="4" t="s">
        <v>186</v>
      </c>
      <c r="D66" s="4"/>
      <c r="E66" s="3" t="s">
        <v>249</v>
      </c>
      <c r="F66" s="4">
        <v>300</v>
      </c>
      <c r="G66" s="4">
        <v>100</v>
      </c>
      <c r="H66" s="4">
        <v>200</v>
      </c>
      <c r="I66" s="4">
        <v>10</v>
      </c>
      <c r="J66" s="22">
        <v>1</v>
      </c>
      <c r="K66" s="30"/>
      <c r="L66" s="30"/>
      <c r="M66" s="30"/>
      <c r="N66" s="4">
        <v>48</v>
      </c>
      <c r="O66" s="25">
        <v>4890000</v>
      </c>
      <c r="P66" s="15">
        <v>2.78</v>
      </c>
      <c r="Q66" s="35"/>
      <c r="R66" s="15"/>
      <c r="S66" s="4"/>
      <c r="T66" s="4"/>
      <c r="U66" s="4"/>
      <c r="V66" s="21"/>
      <c r="W66" s="21"/>
      <c r="X66" s="21" t="s">
        <v>251</v>
      </c>
    </row>
    <row r="67" spans="1:24" x14ac:dyDescent="0.25">
      <c r="A67" s="6">
        <v>6</v>
      </c>
      <c r="B67" s="4">
        <v>3065</v>
      </c>
      <c r="C67" s="4" t="s">
        <v>186</v>
      </c>
      <c r="D67" s="4"/>
      <c r="E67" s="3" t="s">
        <v>249</v>
      </c>
      <c r="F67" s="4">
        <v>300</v>
      </c>
      <c r="G67" s="4">
        <v>100</v>
      </c>
      <c r="H67" s="4">
        <v>200</v>
      </c>
      <c r="I67" s="4">
        <v>10</v>
      </c>
      <c r="J67" s="22">
        <v>1</v>
      </c>
      <c r="K67" s="30"/>
      <c r="L67" s="30"/>
      <c r="M67" s="30"/>
      <c r="N67" s="4">
        <v>48</v>
      </c>
      <c r="O67" s="25">
        <v>4890000</v>
      </c>
      <c r="P67" s="15">
        <v>2.78</v>
      </c>
      <c r="Q67" s="35"/>
      <c r="R67" s="15"/>
      <c r="S67" s="4"/>
      <c r="T67" s="4"/>
      <c r="U67" s="4"/>
      <c r="V67" s="21"/>
      <c r="W67" s="21"/>
      <c r="X67" s="21" t="s">
        <v>252</v>
      </c>
    </row>
    <row r="68" spans="1:24" x14ac:dyDescent="0.25">
      <c r="A68" s="6">
        <v>7</v>
      </c>
      <c r="B68" s="4">
        <v>5109</v>
      </c>
      <c r="C68" s="4" t="s">
        <v>186</v>
      </c>
      <c r="D68" s="4" t="s">
        <v>326</v>
      </c>
      <c r="E68" s="6">
        <v>0.02</v>
      </c>
      <c r="F68" s="4">
        <v>100</v>
      </c>
      <c r="G68" s="4">
        <v>600</v>
      </c>
      <c r="H68" s="4">
        <v>1</v>
      </c>
      <c r="I68" s="4">
        <v>20</v>
      </c>
      <c r="J68" s="22">
        <v>15</v>
      </c>
      <c r="K68" s="30"/>
      <c r="L68" s="30"/>
      <c r="M68" s="51">
        <v>0.9</v>
      </c>
      <c r="N68" s="4"/>
      <c r="O68" s="25"/>
      <c r="P68" s="15"/>
      <c r="Q68" s="43"/>
      <c r="R68" s="46"/>
      <c r="S68" s="4"/>
      <c r="T68" s="4"/>
      <c r="U68" s="4"/>
      <c r="V68" s="21"/>
      <c r="W68" s="21"/>
      <c r="X68" s="21" t="s">
        <v>429</v>
      </c>
    </row>
    <row r="69" spans="1:24" x14ac:dyDescent="0.25">
      <c r="A69" s="38" t="s">
        <v>420</v>
      </c>
      <c r="B69" s="4" t="s">
        <v>284</v>
      </c>
      <c r="C69" s="4" t="s">
        <v>186</v>
      </c>
      <c r="D69" s="4" t="s">
        <v>326</v>
      </c>
      <c r="E69" s="6" t="s">
        <v>411</v>
      </c>
      <c r="F69" s="4">
        <v>100</v>
      </c>
      <c r="G69" s="4">
        <v>600</v>
      </c>
      <c r="H69" s="4">
        <v>400</v>
      </c>
      <c r="I69" s="4">
        <v>20</v>
      </c>
      <c r="J69" s="22">
        <v>15</v>
      </c>
      <c r="K69" s="30"/>
      <c r="L69" s="30"/>
      <c r="M69" s="51">
        <v>0.9</v>
      </c>
      <c r="N69" s="4">
        <v>48</v>
      </c>
      <c r="O69" s="25">
        <v>4890000</v>
      </c>
      <c r="P69" s="15">
        <v>2.78</v>
      </c>
      <c r="Q69" s="43">
        <v>1.0000000000000001E-9</v>
      </c>
      <c r="R69" s="46">
        <v>2E-3</v>
      </c>
      <c r="S69" s="4"/>
      <c r="T69" s="4"/>
      <c r="U69" s="4"/>
      <c r="V69" s="21"/>
      <c r="W69" s="21"/>
      <c r="X69" s="21" t="s">
        <v>421</v>
      </c>
    </row>
    <row r="70" spans="1:24" x14ac:dyDescent="0.25">
      <c r="A70" s="6"/>
      <c r="B70" s="4"/>
      <c r="C70" s="4"/>
      <c r="D70" s="4"/>
      <c r="E70" s="6"/>
      <c r="F70" s="4"/>
      <c r="G70" s="4"/>
      <c r="H70" s="4"/>
      <c r="I70" s="21"/>
      <c r="J70" s="21"/>
      <c r="K70" s="21"/>
      <c r="L70" s="21"/>
      <c r="M70" s="21"/>
      <c r="N70" s="4"/>
      <c r="O70" s="23"/>
      <c r="P70" s="6"/>
      <c r="Q70" s="4"/>
      <c r="R70" s="6"/>
      <c r="S70" s="21"/>
      <c r="T70" s="21"/>
      <c r="U70" s="21"/>
      <c r="V70" s="21"/>
      <c r="W70" s="21"/>
      <c r="X70" s="21"/>
    </row>
    <row r="71" spans="1:24" x14ac:dyDescent="0.25">
      <c r="A71" s="27" t="s">
        <v>247</v>
      </c>
      <c r="E71" s="3"/>
      <c r="P71" s="3"/>
      <c r="Q71" s="8"/>
    </row>
    <row r="72" spans="1:24" x14ac:dyDescent="0.25">
      <c r="A72" s="21">
        <v>1</v>
      </c>
      <c r="B72" s="21">
        <v>3065</v>
      </c>
      <c r="C72" s="21">
        <v>625</v>
      </c>
      <c r="D72" s="21"/>
      <c r="E72" s="6">
        <v>65</v>
      </c>
      <c r="F72" s="21">
        <v>100</v>
      </c>
      <c r="G72" s="21">
        <v>600</v>
      </c>
      <c r="H72" s="21">
        <v>200</v>
      </c>
      <c r="I72" s="21">
        <v>10</v>
      </c>
      <c r="J72" s="22">
        <v>5</v>
      </c>
      <c r="K72" s="21"/>
      <c r="L72" s="21"/>
      <c r="M72" s="21"/>
      <c r="N72" s="21">
        <v>48</v>
      </c>
      <c r="O72" s="25">
        <v>4890000</v>
      </c>
      <c r="P72" s="6">
        <v>2.78</v>
      </c>
      <c r="Q72" s="4"/>
      <c r="R72" s="6"/>
      <c r="S72" s="21">
        <v>0.14000000000000001</v>
      </c>
      <c r="T72" s="21" t="s">
        <v>79</v>
      </c>
      <c r="U72" s="21"/>
      <c r="V72" s="21"/>
      <c r="W72" s="21" t="s">
        <v>245</v>
      </c>
      <c r="X72" s="21" t="s">
        <v>246</v>
      </c>
    </row>
    <row r="73" spans="1:24" x14ac:dyDescent="0.25">
      <c r="A73">
        <v>2</v>
      </c>
      <c r="E73" s="3"/>
      <c r="P73" s="3"/>
      <c r="Q73" s="8"/>
      <c r="X73" t="s">
        <v>244</v>
      </c>
    </row>
    <row r="74" spans="1:24" x14ac:dyDescent="0.25">
      <c r="A74" s="6" t="s">
        <v>285</v>
      </c>
      <c r="E74" s="3"/>
      <c r="P74" s="3"/>
      <c r="Q74" s="8"/>
    </row>
    <row r="75" spans="1:24" x14ac:dyDescent="0.25">
      <c r="A75" s="17"/>
      <c r="B75" s="4" t="s">
        <v>284</v>
      </c>
      <c r="C75" s="8" t="s">
        <v>186</v>
      </c>
      <c r="D75" s="8"/>
      <c r="E75" s="3">
        <v>65</v>
      </c>
      <c r="F75" s="4">
        <v>100</v>
      </c>
      <c r="G75" s="4">
        <v>100</v>
      </c>
      <c r="H75" s="4">
        <v>200</v>
      </c>
      <c r="I75" s="4">
        <v>10</v>
      </c>
      <c r="J75" s="34">
        <v>15</v>
      </c>
      <c r="K75" s="2">
        <v>1.0000000000000001E-5</v>
      </c>
      <c r="L75" s="2">
        <v>4.0000000000000001E-8</v>
      </c>
      <c r="M75" s="2"/>
      <c r="N75">
        <v>48</v>
      </c>
      <c r="O75" s="9">
        <v>4890000</v>
      </c>
      <c r="P75" s="3">
        <v>2.78</v>
      </c>
      <c r="Q75" s="9">
        <v>1.0000000000000001E-9</v>
      </c>
      <c r="R75" s="36">
        <v>2.9999999999999997E-4</v>
      </c>
      <c r="S75" s="33"/>
      <c r="T75" s="33"/>
      <c r="X75" t="s">
        <v>350</v>
      </c>
    </row>
    <row r="76" spans="1:24" x14ac:dyDescent="0.25">
      <c r="A76" s="6">
        <v>3</v>
      </c>
      <c r="B76" s="4" t="s">
        <v>284</v>
      </c>
      <c r="C76" s="4" t="s">
        <v>186</v>
      </c>
      <c r="D76" s="4" t="s">
        <v>326</v>
      </c>
      <c r="E76" s="6">
        <v>65</v>
      </c>
      <c r="F76" s="4">
        <v>100</v>
      </c>
      <c r="G76" s="4">
        <v>600</v>
      </c>
      <c r="H76" s="4">
        <v>400</v>
      </c>
      <c r="I76" s="4">
        <v>10</v>
      </c>
      <c r="J76" s="22">
        <v>15</v>
      </c>
      <c r="K76" s="30">
        <v>1.0000000000000001E-5</v>
      </c>
      <c r="L76" s="30">
        <v>9.9999999999999995E-7</v>
      </c>
      <c r="M76" s="51">
        <v>0.9</v>
      </c>
      <c r="N76" s="4">
        <v>48</v>
      </c>
      <c r="O76" s="25">
        <v>4890000</v>
      </c>
      <c r="P76" s="15">
        <v>2.78</v>
      </c>
      <c r="Q76" s="43">
        <v>1.0000000000000001E-9</v>
      </c>
      <c r="R76" s="46">
        <v>5.0000000000000001E-4</v>
      </c>
      <c r="S76" s="33">
        <v>6.0129000000000002E-2</v>
      </c>
      <c r="T76" s="33">
        <v>30.86</v>
      </c>
      <c r="U76">
        <v>42.85</v>
      </c>
      <c r="W76" t="s">
        <v>427</v>
      </c>
      <c r="X76" t="s">
        <v>428</v>
      </c>
    </row>
    <row r="77" spans="1:24" x14ac:dyDescent="0.25">
      <c r="A77" s="53">
        <v>4</v>
      </c>
      <c r="B77" s="4" t="s">
        <v>284</v>
      </c>
      <c r="C77" s="8" t="s">
        <v>186</v>
      </c>
      <c r="D77" s="4" t="s">
        <v>326</v>
      </c>
      <c r="E77" s="3">
        <v>65</v>
      </c>
      <c r="F77" s="4">
        <v>100</v>
      </c>
      <c r="G77" s="4">
        <v>600</v>
      </c>
      <c r="H77" s="4">
        <v>200</v>
      </c>
      <c r="I77" s="4">
        <v>10</v>
      </c>
      <c r="J77" s="34">
        <v>15</v>
      </c>
      <c r="K77" s="2">
        <v>1.0000000000000001E-5</v>
      </c>
      <c r="L77" s="2">
        <v>4.0000000000000001E-8</v>
      </c>
      <c r="M77" s="28">
        <v>0.9</v>
      </c>
      <c r="N77">
        <v>48</v>
      </c>
      <c r="O77" s="9">
        <v>4890000</v>
      </c>
      <c r="P77" s="3">
        <v>2.78</v>
      </c>
      <c r="Q77" s="9">
        <v>1.0000000000000001E-9</v>
      </c>
      <c r="R77" s="36">
        <v>5.0000000000000001E-4</v>
      </c>
      <c r="S77" s="21">
        <v>6.0130000000000003E-2</v>
      </c>
      <c r="T77" s="33">
        <v>13.31</v>
      </c>
      <c r="W77" t="s">
        <v>408</v>
      </c>
      <c r="X77" t="s">
        <v>351</v>
      </c>
    </row>
    <row r="78" spans="1:24" x14ac:dyDescent="0.25">
      <c r="A78" s="53"/>
      <c r="B78" s="4"/>
      <c r="C78" s="8"/>
      <c r="D78" s="4"/>
      <c r="E78" s="3"/>
      <c r="F78" s="4"/>
      <c r="G78" s="4"/>
      <c r="H78" s="4"/>
      <c r="I78" s="4"/>
      <c r="J78" s="34"/>
      <c r="K78" s="2"/>
      <c r="L78" s="2"/>
      <c r="M78" s="28"/>
      <c r="O78" s="9"/>
      <c r="P78" s="3"/>
      <c r="Q78" s="9"/>
      <c r="R78" s="36"/>
      <c r="S78" s="33"/>
      <c r="T78" s="33"/>
    </row>
    <row r="79" spans="1:24" x14ac:dyDescent="0.25">
      <c r="A79" s="54">
        <v>6</v>
      </c>
      <c r="B79" s="4" t="s">
        <v>284</v>
      </c>
      <c r="C79" s="8" t="s">
        <v>186</v>
      </c>
      <c r="D79" s="4" t="s">
        <v>326</v>
      </c>
      <c r="E79" s="3">
        <v>65</v>
      </c>
      <c r="F79" s="4">
        <v>100</v>
      </c>
      <c r="G79" s="4">
        <v>600</v>
      </c>
      <c r="H79" s="4">
        <v>200</v>
      </c>
      <c r="I79" s="4">
        <v>10</v>
      </c>
      <c r="J79" s="34">
        <v>60</v>
      </c>
      <c r="K79" s="2">
        <v>1.0000000000000001E-5</v>
      </c>
      <c r="L79" s="2">
        <v>4.0000000000000001E-8</v>
      </c>
      <c r="M79" s="28">
        <v>0.9</v>
      </c>
      <c r="N79">
        <v>48</v>
      </c>
      <c r="O79" s="9">
        <v>4890000</v>
      </c>
      <c r="P79" s="3">
        <v>2.78</v>
      </c>
      <c r="Q79" s="9">
        <v>1.0000000000000001E-9</v>
      </c>
      <c r="R79" s="36">
        <v>5.0000000000000001E-4</v>
      </c>
      <c r="S79" s="33">
        <v>0.06</v>
      </c>
      <c r="T79" s="33">
        <v>13.89</v>
      </c>
      <c r="X79" t="s">
        <v>352</v>
      </c>
    </row>
    <row r="80" spans="1:24" x14ac:dyDescent="0.25">
      <c r="A80" s="54"/>
      <c r="B80" s="4"/>
      <c r="C80" s="8"/>
      <c r="D80" s="4"/>
      <c r="E80" s="3"/>
      <c r="F80" s="4"/>
      <c r="G80" s="4"/>
      <c r="H80" s="4"/>
      <c r="I80" s="4"/>
      <c r="J80" s="34"/>
      <c r="K80" s="2"/>
      <c r="L80" s="2"/>
      <c r="M80" s="28"/>
      <c r="O80" s="9"/>
      <c r="P80" s="3"/>
      <c r="Q80" s="9"/>
      <c r="R80" s="36"/>
      <c r="S80" s="33"/>
      <c r="T80" s="33"/>
    </row>
    <row r="81" spans="1:24" x14ac:dyDescent="0.25">
      <c r="A81" s="54" t="s">
        <v>366</v>
      </c>
      <c r="B81" s="4"/>
      <c r="C81" s="8"/>
      <c r="D81" s="4"/>
      <c r="E81" s="3"/>
      <c r="F81" s="4"/>
      <c r="G81" s="4"/>
      <c r="H81" s="4"/>
      <c r="I81" s="4"/>
      <c r="J81" s="34"/>
      <c r="K81" s="2"/>
      <c r="L81" s="2"/>
      <c r="M81" s="28"/>
      <c r="O81" s="9"/>
      <c r="P81" s="3"/>
      <c r="Q81" s="9"/>
      <c r="R81" s="36"/>
      <c r="S81" s="33"/>
      <c r="T81" s="33"/>
    </row>
    <row r="82" spans="1:24" x14ac:dyDescent="0.25">
      <c r="A82" s="54">
        <v>1</v>
      </c>
      <c r="B82" s="4" t="s">
        <v>284</v>
      </c>
      <c r="C82" s="8" t="s">
        <v>186</v>
      </c>
      <c r="D82" s="4" t="s">
        <v>326</v>
      </c>
      <c r="E82" s="3">
        <v>65</v>
      </c>
      <c r="F82" s="4">
        <v>100</v>
      </c>
      <c r="G82" s="4">
        <v>300</v>
      </c>
      <c r="H82" s="4">
        <v>400</v>
      </c>
      <c r="I82" s="4">
        <v>10</v>
      </c>
      <c r="J82" s="34">
        <v>60</v>
      </c>
      <c r="K82" s="2">
        <v>1.0000000000000001E-5</v>
      </c>
      <c r="L82" s="2">
        <v>4.0000000000000001E-8</v>
      </c>
      <c r="M82" s="28">
        <v>0.9</v>
      </c>
      <c r="N82">
        <v>48</v>
      </c>
      <c r="O82" s="9">
        <v>4890000</v>
      </c>
      <c r="P82" s="3">
        <v>2.78</v>
      </c>
      <c r="Q82" s="9">
        <v>1.0000000000000001E-9</v>
      </c>
      <c r="R82" s="36">
        <v>2.0000000000000001E-4</v>
      </c>
      <c r="S82" s="57">
        <v>4.7E-2</v>
      </c>
      <c r="T82" s="58">
        <v>14.5</v>
      </c>
      <c r="W82" t="s">
        <v>355</v>
      </c>
      <c r="X82" t="s">
        <v>353</v>
      </c>
    </row>
    <row r="83" spans="1:24" x14ac:dyDescent="0.25">
      <c r="A83" s="55" t="s">
        <v>304</v>
      </c>
      <c r="B83" s="4" t="s">
        <v>284</v>
      </c>
      <c r="C83" s="8" t="s">
        <v>186</v>
      </c>
      <c r="D83" s="4" t="s">
        <v>326</v>
      </c>
      <c r="E83" s="3">
        <v>65</v>
      </c>
      <c r="F83" s="4">
        <v>100</v>
      </c>
      <c r="G83" s="4">
        <v>300</v>
      </c>
      <c r="H83" s="4">
        <v>400</v>
      </c>
      <c r="I83" s="4">
        <v>10</v>
      </c>
      <c r="J83" s="34">
        <v>60</v>
      </c>
      <c r="K83" s="2">
        <v>1.0000000000000001E-5</v>
      </c>
      <c r="L83" s="2">
        <v>4.0000000000000001E-8</v>
      </c>
      <c r="M83" s="28">
        <v>0.9</v>
      </c>
      <c r="N83">
        <v>48</v>
      </c>
      <c r="O83" s="9">
        <v>4890000</v>
      </c>
      <c r="P83" s="3">
        <v>2.78</v>
      </c>
      <c r="Q83" s="9">
        <v>1.0000000000000001E-9</v>
      </c>
      <c r="R83" s="36">
        <v>2.0000000000000001E-4</v>
      </c>
      <c r="S83" s="33">
        <v>4.7E-2</v>
      </c>
      <c r="T83" s="33">
        <v>14.56</v>
      </c>
      <c r="W83" t="s">
        <v>354</v>
      </c>
      <c r="X83" t="s">
        <v>377</v>
      </c>
    </row>
    <row r="84" spans="1:24" x14ac:dyDescent="0.25">
      <c r="A84" s="55" t="s">
        <v>376</v>
      </c>
      <c r="B84" s="4" t="s">
        <v>284</v>
      </c>
      <c r="C84" s="8" t="s">
        <v>186</v>
      </c>
      <c r="D84" s="4" t="s">
        <v>326</v>
      </c>
      <c r="E84" s="3">
        <v>65</v>
      </c>
      <c r="F84" s="4">
        <v>100</v>
      </c>
      <c r="G84" s="4">
        <v>300</v>
      </c>
      <c r="H84" s="4">
        <v>400</v>
      </c>
      <c r="I84" s="4">
        <v>10</v>
      </c>
      <c r="J84" s="34">
        <v>60</v>
      </c>
      <c r="K84" s="2">
        <v>1.0000000000000001E-5</v>
      </c>
      <c r="L84" s="2">
        <v>4.0000000000000001E-8</v>
      </c>
      <c r="M84" s="28">
        <v>0.9</v>
      </c>
      <c r="N84">
        <v>48</v>
      </c>
      <c r="O84" s="9">
        <v>4890000</v>
      </c>
      <c r="P84" s="3">
        <v>2.78</v>
      </c>
      <c r="Q84" s="9">
        <v>1.0000000000000001E-9</v>
      </c>
      <c r="R84" s="36">
        <v>2.0000000000000001E-4</v>
      </c>
      <c r="S84" s="33">
        <v>4.6884000000000002E-2</v>
      </c>
      <c r="T84" s="33">
        <v>14.5</v>
      </c>
      <c r="W84" t="s">
        <v>402</v>
      </c>
      <c r="X84" t="s">
        <v>403</v>
      </c>
    </row>
    <row r="85" spans="1:24" x14ac:dyDescent="0.25">
      <c r="A85" s="54">
        <v>2</v>
      </c>
      <c r="B85" s="4" t="s">
        <v>284</v>
      </c>
      <c r="C85" s="8" t="s">
        <v>186</v>
      </c>
      <c r="D85" s="4" t="s">
        <v>326</v>
      </c>
      <c r="E85" s="3">
        <v>65</v>
      </c>
      <c r="F85" s="4">
        <v>100</v>
      </c>
      <c r="G85" s="4">
        <v>300</v>
      </c>
      <c r="H85" s="4">
        <v>400</v>
      </c>
      <c r="I85" s="4">
        <v>10</v>
      </c>
      <c r="J85" s="34">
        <v>60</v>
      </c>
      <c r="K85" s="2">
        <v>1.0000000000000001E-5</v>
      </c>
      <c r="L85" s="2">
        <v>4.0000000000000001E-8</v>
      </c>
      <c r="M85" s="28">
        <v>0.9</v>
      </c>
      <c r="N85">
        <v>48</v>
      </c>
      <c r="O85" s="9">
        <v>4890000</v>
      </c>
      <c r="P85" s="3">
        <v>2.78</v>
      </c>
      <c r="Q85" s="9">
        <v>1.0000000000000001E-9</v>
      </c>
      <c r="R85" s="36">
        <v>5.9999999999999995E-4</v>
      </c>
      <c r="S85" s="57">
        <v>0.13200000000000001</v>
      </c>
      <c r="T85" s="58">
        <v>4.5999999999999996</v>
      </c>
      <c r="W85" t="s">
        <v>223</v>
      </c>
      <c r="X85" t="s">
        <v>367</v>
      </c>
    </row>
    <row r="86" spans="1:24" x14ac:dyDescent="0.25">
      <c r="E86" s="3"/>
      <c r="P86" s="3"/>
      <c r="Q86" s="8"/>
    </row>
    <row r="87" spans="1:24" x14ac:dyDescent="0.25">
      <c r="A87" s="27" t="s">
        <v>248</v>
      </c>
      <c r="E87" s="3"/>
      <c r="P87" s="3"/>
      <c r="Q87" s="8"/>
    </row>
    <row r="88" spans="1:24" x14ac:dyDescent="0.25">
      <c r="A88">
        <v>1</v>
      </c>
      <c r="B88" s="4">
        <v>3065</v>
      </c>
      <c r="C88" s="4" t="s">
        <v>186</v>
      </c>
      <c r="D88" s="4"/>
      <c r="E88" s="3" t="s">
        <v>249</v>
      </c>
      <c r="F88" s="4">
        <v>100</v>
      </c>
      <c r="G88" s="4">
        <v>600</v>
      </c>
      <c r="H88" s="4">
        <v>400</v>
      </c>
      <c r="I88" s="4">
        <v>10</v>
      </c>
      <c r="J88" s="22">
        <v>15</v>
      </c>
      <c r="K88" s="30"/>
      <c r="L88" s="30"/>
      <c r="M88" s="30"/>
      <c r="N88" s="4">
        <v>48</v>
      </c>
      <c r="O88" s="25">
        <v>4890000</v>
      </c>
      <c r="P88" s="15">
        <v>2.78</v>
      </c>
      <c r="Q88" s="35"/>
      <c r="R88" s="15"/>
      <c r="S88">
        <v>0.18</v>
      </c>
      <c r="T88">
        <v>2.4300000000000002</v>
      </c>
      <c r="X88" t="s">
        <v>250</v>
      </c>
    </row>
    <row r="89" spans="1:24" x14ac:dyDescent="0.25">
      <c r="A89" s="6">
        <v>2</v>
      </c>
      <c r="B89" s="4">
        <v>3065</v>
      </c>
      <c r="C89" s="4" t="s">
        <v>186</v>
      </c>
      <c r="D89" s="4"/>
      <c r="E89" s="3" t="s">
        <v>249</v>
      </c>
      <c r="F89" s="4">
        <v>100</v>
      </c>
      <c r="G89" s="4">
        <v>600</v>
      </c>
      <c r="H89" s="4">
        <v>400</v>
      </c>
      <c r="I89" s="4">
        <v>10</v>
      </c>
      <c r="J89" s="22">
        <v>15</v>
      </c>
      <c r="K89" s="30"/>
      <c r="L89" s="30"/>
      <c r="M89" s="30"/>
      <c r="N89" s="4">
        <v>48</v>
      </c>
      <c r="O89" s="25">
        <v>4890000</v>
      </c>
      <c r="P89" s="15">
        <v>2.78</v>
      </c>
      <c r="Q89" s="35"/>
      <c r="R89" s="15"/>
      <c r="S89">
        <v>0.24</v>
      </c>
      <c r="T89">
        <v>2.09</v>
      </c>
    </row>
    <row r="90" spans="1:24" x14ac:dyDescent="0.25">
      <c r="A90" s="4" t="s">
        <v>303</v>
      </c>
      <c r="B90" s="4"/>
      <c r="C90" s="4"/>
      <c r="D90" s="4"/>
      <c r="E90" s="3"/>
      <c r="F90" s="4"/>
      <c r="G90" s="4"/>
      <c r="H90" s="4"/>
      <c r="I90" s="4"/>
      <c r="J90" s="22"/>
      <c r="K90" s="30"/>
      <c r="L90" s="30"/>
      <c r="M90" s="30"/>
      <c r="N90" s="4"/>
      <c r="O90" s="25"/>
      <c r="P90" s="15"/>
      <c r="Q90" s="35"/>
      <c r="R90" s="15"/>
    </row>
    <row r="91" spans="1:24" x14ac:dyDescent="0.25">
      <c r="A91" s="4">
        <v>3</v>
      </c>
      <c r="B91" s="4" t="s">
        <v>284</v>
      </c>
      <c r="C91" s="8" t="s">
        <v>186</v>
      </c>
      <c r="D91" s="8"/>
      <c r="E91" s="3" t="s">
        <v>320</v>
      </c>
      <c r="F91" s="4">
        <v>100</v>
      </c>
      <c r="G91" s="4">
        <v>600</v>
      </c>
      <c r="H91" s="4">
        <v>400</v>
      </c>
      <c r="I91" s="4">
        <v>10</v>
      </c>
      <c r="J91" s="34">
        <v>15</v>
      </c>
      <c r="K91" s="2">
        <v>1.0000000000000001E-5</v>
      </c>
      <c r="L91" s="2">
        <v>4.0000000000000001E-8</v>
      </c>
      <c r="M91" s="28">
        <v>0.4</v>
      </c>
      <c r="N91">
        <v>48</v>
      </c>
      <c r="O91" s="9">
        <v>4890000</v>
      </c>
      <c r="P91" s="3">
        <v>2.78</v>
      </c>
      <c r="Q91" s="9">
        <v>1.0000000000000001E-9</v>
      </c>
      <c r="R91" s="36">
        <v>2.5000000000000001E-4</v>
      </c>
      <c r="S91" s="33">
        <v>1.9E-2</v>
      </c>
      <c r="T91" s="33">
        <v>1.03</v>
      </c>
      <c r="X91" t="s">
        <v>321</v>
      </c>
    </row>
    <row r="92" spans="1:24" x14ac:dyDescent="0.25">
      <c r="A92" s="4">
        <v>4</v>
      </c>
      <c r="B92" s="4" t="s">
        <v>284</v>
      </c>
      <c r="C92" s="8" t="s">
        <v>186</v>
      </c>
      <c r="D92" s="8"/>
      <c r="E92" s="3" t="s">
        <v>320</v>
      </c>
      <c r="F92" s="4">
        <v>100</v>
      </c>
      <c r="G92" s="4">
        <v>600</v>
      </c>
      <c r="H92" s="4">
        <v>400</v>
      </c>
      <c r="I92" s="4">
        <v>10</v>
      </c>
      <c r="J92" s="34">
        <v>15</v>
      </c>
      <c r="K92" s="2">
        <v>1.0000000000000001E-5</v>
      </c>
      <c r="L92" s="2">
        <v>4.0000000000000001E-8</v>
      </c>
      <c r="M92" s="28">
        <v>0.4</v>
      </c>
      <c r="N92">
        <v>48</v>
      </c>
      <c r="O92" s="9">
        <v>4890000</v>
      </c>
      <c r="P92" s="3">
        <v>2.78</v>
      </c>
      <c r="Q92" s="9">
        <v>1.0000000000000001E-9</v>
      </c>
      <c r="R92" s="36">
        <v>2.5000000000000001E-4</v>
      </c>
      <c r="S92" s="33">
        <v>0.33</v>
      </c>
      <c r="T92" s="33">
        <v>8.31</v>
      </c>
      <c r="X92" t="s">
        <v>322</v>
      </c>
    </row>
    <row r="93" spans="1:24" x14ac:dyDescent="0.25">
      <c r="A93" s="38" t="s">
        <v>319</v>
      </c>
      <c r="B93" s="4" t="s">
        <v>284</v>
      </c>
      <c r="C93" s="4" t="s">
        <v>186</v>
      </c>
      <c r="D93" s="4" t="s">
        <v>326</v>
      </c>
      <c r="E93" s="6" t="s">
        <v>337</v>
      </c>
      <c r="F93" s="4">
        <v>100</v>
      </c>
      <c r="G93" s="4">
        <v>600</v>
      </c>
      <c r="H93" s="4">
        <v>400</v>
      </c>
      <c r="I93" s="4">
        <v>20</v>
      </c>
      <c r="J93" s="22">
        <v>15</v>
      </c>
      <c r="K93" s="30">
        <v>1.0000000000000001E-5</v>
      </c>
      <c r="L93" s="30">
        <v>4.0000000000000001E-8</v>
      </c>
      <c r="M93" s="51">
        <v>0.9</v>
      </c>
      <c r="N93" s="4">
        <v>48</v>
      </c>
      <c r="O93" s="25">
        <v>4890000</v>
      </c>
      <c r="P93" s="15">
        <v>2.78</v>
      </c>
      <c r="Q93" s="43">
        <v>1.0000000000000001E-9</v>
      </c>
      <c r="R93" s="62">
        <v>7.6999999999999996E-4</v>
      </c>
      <c r="S93" s="60">
        <v>4.3470000000000002E-3</v>
      </c>
      <c r="T93">
        <v>0.53</v>
      </c>
      <c r="U93">
        <v>2</v>
      </c>
      <c r="W93" t="s">
        <v>341</v>
      </c>
      <c r="X93" t="s">
        <v>413</v>
      </c>
    </row>
    <row r="94" spans="1:24" x14ac:dyDescent="0.25">
      <c r="A94" s="38" t="s">
        <v>409</v>
      </c>
      <c r="B94" s="4" t="s">
        <v>284</v>
      </c>
      <c r="C94" s="4" t="s">
        <v>186</v>
      </c>
      <c r="D94" s="4" t="s">
        <v>326</v>
      </c>
      <c r="E94" s="6" t="s">
        <v>337</v>
      </c>
      <c r="F94" s="4">
        <v>50</v>
      </c>
      <c r="G94" s="4">
        <v>300</v>
      </c>
      <c r="H94" s="4">
        <v>400</v>
      </c>
      <c r="I94" s="4">
        <v>20</v>
      </c>
      <c r="J94" s="22">
        <v>15</v>
      </c>
      <c r="K94" s="30">
        <v>1.0000000000000001E-5</v>
      </c>
      <c r="L94" s="30">
        <v>4.0000000000000001E-8</v>
      </c>
      <c r="M94" s="51">
        <v>0.9</v>
      </c>
      <c r="N94" s="4">
        <v>48</v>
      </c>
      <c r="O94" s="25">
        <v>4890000</v>
      </c>
      <c r="P94" s="15">
        <v>2.78</v>
      </c>
      <c r="Q94" s="43">
        <v>1.0000000000000001E-9</v>
      </c>
      <c r="R94" s="62">
        <v>7.6000000000000004E-4</v>
      </c>
      <c r="S94" s="60"/>
      <c r="X94" t="s">
        <v>418</v>
      </c>
    </row>
    <row r="95" spans="1:24" x14ac:dyDescent="0.25">
      <c r="A95" s="38" t="s">
        <v>415</v>
      </c>
      <c r="B95" s="4" t="s">
        <v>284</v>
      </c>
      <c r="C95" s="4" t="s">
        <v>186</v>
      </c>
      <c r="D95" s="4" t="s">
        <v>326</v>
      </c>
      <c r="E95" s="6" t="s">
        <v>337</v>
      </c>
      <c r="F95" s="4">
        <v>100</v>
      </c>
      <c r="G95" s="4">
        <v>600</v>
      </c>
      <c r="H95" s="4">
        <v>400</v>
      </c>
      <c r="I95" s="4">
        <v>20</v>
      </c>
      <c r="J95" s="22">
        <v>15</v>
      </c>
      <c r="K95" s="30">
        <v>1.0000000000000001E-5</v>
      </c>
      <c r="L95" s="30">
        <v>4.0000000000000001E-8</v>
      </c>
      <c r="M95" s="51">
        <v>0.9</v>
      </c>
      <c r="N95" s="4">
        <v>48</v>
      </c>
      <c r="O95" s="25">
        <v>4890000</v>
      </c>
      <c r="P95" s="15">
        <v>2.78</v>
      </c>
      <c r="Q95" s="43">
        <v>1E-10</v>
      </c>
      <c r="R95" s="62">
        <v>6.6E-4</v>
      </c>
      <c r="S95" s="64">
        <v>0.58432700000000004</v>
      </c>
      <c r="T95" s="21">
        <v>5.39</v>
      </c>
      <c r="U95">
        <v>0.26</v>
      </c>
      <c r="W95" t="s">
        <v>339</v>
      </c>
      <c r="X95" t="s">
        <v>424</v>
      </c>
    </row>
    <row r="96" spans="1:24" x14ac:dyDescent="0.25">
      <c r="A96" s="38" t="s">
        <v>426</v>
      </c>
      <c r="B96" s="4" t="s">
        <v>284</v>
      </c>
      <c r="C96" s="4" t="s">
        <v>186</v>
      </c>
      <c r="D96" s="4" t="s">
        <v>326</v>
      </c>
      <c r="E96" s="6" t="s">
        <v>337</v>
      </c>
      <c r="F96" s="4">
        <v>100</v>
      </c>
      <c r="G96" s="4">
        <v>600</v>
      </c>
      <c r="H96" s="4">
        <v>400</v>
      </c>
      <c r="I96" s="4">
        <v>20</v>
      </c>
      <c r="J96" s="22">
        <v>15</v>
      </c>
      <c r="K96" s="30">
        <v>1.0000000000000001E-5</v>
      </c>
      <c r="L96" s="30">
        <v>4.0000000000000001E-8</v>
      </c>
      <c r="M96" s="51">
        <v>0.9</v>
      </c>
      <c r="N96" s="4">
        <v>48</v>
      </c>
      <c r="O96" s="25">
        <v>4890000</v>
      </c>
      <c r="P96" s="15">
        <v>2.78</v>
      </c>
      <c r="Q96" s="43">
        <v>1.0000000000000001E-9</v>
      </c>
      <c r="R96" s="62"/>
      <c r="S96" s="64"/>
      <c r="T96" s="21"/>
      <c r="X96" t="s">
        <v>432</v>
      </c>
    </row>
    <row r="97" spans="1:24" x14ac:dyDescent="0.25">
      <c r="A97" s="38" t="s">
        <v>342</v>
      </c>
      <c r="B97" s="4" t="s">
        <v>284</v>
      </c>
      <c r="C97" s="4" t="s">
        <v>186</v>
      </c>
      <c r="D97" s="4" t="s">
        <v>326</v>
      </c>
      <c r="E97" s="6">
        <v>100</v>
      </c>
      <c r="F97" s="4">
        <v>100</v>
      </c>
      <c r="G97" s="4">
        <v>600</v>
      </c>
      <c r="H97" s="4">
        <v>400</v>
      </c>
      <c r="I97" s="4">
        <v>30</v>
      </c>
      <c r="J97" s="22">
        <v>15</v>
      </c>
      <c r="K97" s="30">
        <v>1.0000000000000001E-5</v>
      </c>
      <c r="L97" s="30">
        <v>4.0000000000000001E-8</v>
      </c>
      <c r="M97" s="51">
        <v>0.9</v>
      </c>
      <c r="N97" s="4">
        <v>48</v>
      </c>
      <c r="O97" s="25">
        <v>4890000</v>
      </c>
      <c r="P97" s="15">
        <v>2.78</v>
      </c>
      <c r="Q97" s="43">
        <v>1E-8</v>
      </c>
      <c r="R97" s="46">
        <v>5.0000000000000001E-4</v>
      </c>
      <c r="S97" s="60">
        <v>0.14092199999999999</v>
      </c>
      <c r="T97">
        <v>26.71</v>
      </c>
      <c r="U97">
        <v>32.56</v>
      </c>
      <c r="W97" t="s">
        <v>407</v>
      </c>
      <c r="X97" t="s">
        <v>404</v>
      </c>
    </row>
    <row r="98" spans="1:24" x14ac:dyDescent="0.25">
      <c r="A98" s="38" t="s">
        <v>410</v>
      </c>
      <c r="B98" s="4" t="s">
        <v>284</v>
      </c>
      <c r="C98" s="4" t="s">
        <v>186</v>
      </c>
      <c r="D98" s="4" t="s">
        <v>326</v>
      </c>
      <c r="E98" s="6" t="s">
        <v>411</v>
      </c>
      <c r="F98" s="4">
        <v>100</v>
      </c>
      <c r="G98" s="4">
        <v>600</v>
      </c>
      <c r="H98" s="4">
        <v>400</v>
      </c>
      <c r="I98" s="4">
        <v>20</v>
      </c>
      <c r="J98" s="22">
        <v>15</v>
      </c>
      <c r="K98" s="30">
        <v>1.0000000000000001E-5</v>
      </c>
      <c r="L98" s="30">
        <v>4.0000000000000001E-8</v>
      </c>
      <c r="M98" s="51">
        <v>0.9</v>
      </c>
      <c r="N98" s="4">
        <v>48</v>
      </c>
      <c r="O98" s="25">
        <v>4890000</v>
      </c>
      <c r="P98" s="15">
        <v>2.78</v>
      </c>
      <c r="Q98" s="43">
        <v>1.0000000000000001E-9</v>
      </c>
      <c r="R98" s="46">
        <v>2E-3</v>
      </c>
      <c r="S98" s="21">
        <v>0.221776</v>
      </c>
      <c r="T98" s="21">
        <v>3.05</v>
      </c>
      <c r="U98">
        <v>8.81</v>
      </c>
      <c r="W98" t="s">
        <v>389</v>
      </c>
      <c r="X98" t="s">
        <v>422</v>
      </c>
    </row>
    <row r="99" spans="1:24" x14ac:dyDescent="0.25">
      <c r="A99" s="38" t="s">
        <v>414</v>
      </c>
      <c r="B99" s="4" t="s">
        <v>284</v>
      </c>
      <c r="C99" s="4" t="s">
        <v>186</v>
      </c>
      <c r="D99" s="4" t="s">
        <v>326</v>
      </c>
      <c r="E99" s="6" t="s">
        <v>411</v>
      </c>
      <c r="F99" s="4">
        <v>100</v>
      </c>
      <c r="G99" s="4">
        <v>600</v>
      </c>
      <c r="H99" s="4">
        <v>400</v>
      </c>
      <c r="I99" s="4">
        <v>10</v>
      </c>
      <c r="J99" s="22">
        <v>15</v>
      </c>
      <c r="K99" s="30">
        <v>1.0000000000000001E-5</v>
      </c>
      <c r="L99" s="30">
        <v>4.0000000000000001E-8</v>
      </c>
      <c r="M99" s="51">
        <v>0.9</v>
      </c>
      <c r="N99" s="4">
        <v>48</v>
      </c>
      <c r="O99" s="25">
        <v>4890000</v>
      </c>
      <c r="P99" s="15">
        <v>2.78</v>
      </c>
      <c r="Q99" s="43">
        <v>1.0000000000000001E-9</v>
      </c>
      <c r="R99" s="46">
        <v>2E-3</v>
      </c>
      <c r="S99" s="21">
        <v>0.12797700000000001</v>
      </c>
      <c r="T99" s="21">
        <v>2.9</v>
      </c>
      <c r="U99">
        <v>8.7200000000000006</v>
      </c>
      <c r="W99" t="s">
        <v>408</v>
      </c>
      <c r="X99" t="s">
        <v>412</v>
      </c>
    </row>
    <row r="100" spans="1:24" x14ac:dyDescent="0.25">
      <c r="A100" s="38" t="s">
        <v>419</v>
      </c>
      <c r="B100" s="4" t="s">
        <v>284</v>
      </c>
      <c r="C100" s="4" t="s">
        <v>186</v>
      </c>
      <c r="D100" s="4" t="s">
        <v>326</v>
      </c>
      <c r="E100" s="6" t="s">
        <v>411</v>
      </c>
      <c r="F100" s="4">
        <v>100</v>
      </c>
      <c r="G100" s="4">
        <v>600</v>
      </c>
      <c r="H100" s="4">
        <v>400</v>
      </c>
      <c r="I100" s="4">
        <v>10</v>
      </c>
      <c r="J100" s="22">
        <v>600</v>
      </c>
      <c r="K100" s="30">
        <v>1.0000000000000001E-5</v>
      </c>
      <c r="L100" s="30">
        <v>4.0000000000000001E-8</v>
      </c>
      <c r="M100" s="51">
        <v>0.9</v>
      </c>
      <c r="N100" s="4">
        <v>48</v>
      </c>
      <c r="O100" s="25">
        <v>4890000</v>
      </c>
      <c r="P100" s="15">
        <v>2.78</v>
      </c>
      <c r="Q100" s="43">
        <v>1.0000000000000001E-9</v>
      </c>
      <c r="R100" s="46">
        <v>1.5E-3</v>
      </c>
      <c r="S100" s="21">
        <v>0</v>
      </c>
      <c r="T100" s="21">
        <v>0</v>
      </c>
      <c r="W100" t="s">
        <v>425</v>
      </c>
      <c r="X100" t="s">
        <v>423</v>
      </c>
    </row>
    <row r="101" spans="1:24" x14ac:dyDescent="0.25">
      <c r="A101" s="38" t="s">
        <v>430</v>
      </c>
      <c r="B101" s="4" t="s">
        <v>284</v>
      </c>
      <c r="C101" s="4" t="s">
        <v>186</v>
      </c>
      <c r="D101" s="4" t="s">
        <v>326</v>
      </c>
      <c r="E101" s="6" t="s">
        <v>411</v>
      </c>
      <c r="F101" s="4">
        <v>100</v>
      </c>
      <c r="G101" s="4">
        <v>600</v>
      </c>
      <c r="H101" s="4">
        <v>400</v>
      </c>
      <c r="I101" s="4">
        <v>10</v>
      </c>
      <c r="J101" s="22">
        <v>15</v>
      </c>
      <c r="K101" s="30">
        <v>1.0000000000000001E-5</v>
      </c>
      <c r="L101" s="30">
        <v>4.0000000000000001E-8</v>
      </c>
      <c r="M101" s="51">
        <v>0.9</v>
      </c>
      <c r="N101" s="4">
        <v>48</v>
      </c>
      <c r="O101" s="25">
        <v>4890000</v>
      </c>
      <c r="P101" s="15">
        <v>2.78</v>
      </c>
      <c r="Q101" s="43">
        <v>1.0000000000000001E-9</v>
      </c>
      <c r="R101" s="46">
        <v>2E-3</v>
      </c>
      <c r="S101" s="21"/>
      <c r="T101" s="21"/>
      <c r="X101" t="s">
        <v>431</v>
      </c>
    </row>
    <row r="102" spans="1:24" x14ac:dyDescent="0.25">
      <c r="A102" s="38" t="s">
        <v>453</v>
      </c>
      <c r="B102" s="4" t="s">
        <v>284</v>
      </c>
      <c r="C102" s="4" t="s">
        <v>186</v>
      </c>
      <c r="D102" s="4" t="s">
        <v>433</v>
      </c>
      <c r="E102" s="6" t="s">
        <v>337</v>
      </c>
      <c r="F102" s="4">
        <v>100</v>
      </c>
      <c r="G102" s="4">
        <v>600</v>
      </c>
      <c r="H102" s="4">
        <v>400</v>
      </c>
      <c r="I102" s="4">
        <v>10</v>
      </c>
      <c r="J102" s="22">
        <v>15</v>
      </c>
      <c r="K102" s="30">
        <v>1.0000000000000001E-5</v>
      </c>
      <c r="L102" s="30">
        <v>4.0000000000000001E-8</v>
      </c>
      <c r="M102" s="51">
        <v>0.9</v>
      </c>
      <c r="N102" s="4">
        <v>48</v>
      </c>
      <c r="O102" s="25">
        <v>4890000</v>
      </c>
      <c r="P102" s="15">
        <v>2.78</v>
      </c>
      <c r="Q102" s="43">
        <v>1E-8</v>
      </c>
      <c r="R102" s="62"/>
      <c r="S102">
        <v>4.2700000000000004E-3</v>
      </c>
      <c r="T102">
        <v>0.49</v>
      </c>
      <c r="U102">
        <v>1.88</v>
      </c>
      <c r="W102" t="s">
        <v>434</v>
      </c>
      <c r="X102" t="s">
        <v>435</v>
      </c>
    </row>
    <row r="103" spans="1:24" x14ac:dyDescent="0.25">
      <c r="A103" s="38" t="s">
        <v>454</v>
      </c>
      <c r="B103" s="4" t="s">
        <v>284</v>
      </c>
      <c r="C103" s="4" t="s">
        <v>186</v>
      </c>
      <c r="D103" s="4" t="s">
        <v>433</v>
      </c>
      <c r="E103" s="6" t="s">
        <v>337</v>
      </c>
      <c r="F103" s="4">
        <v>100</v>
      </c>
      <c r="G103" s="4">
        <v>600</v>
      </c>
      <c r="H103" s="4">
        <v>400</v>
      </c>
      <c r="I103" s="4">
        <v>10</v>
      </c>
      <c r="J103" s="22">
        <v>15</v>
      </c>
      <c r="K103" s="30">
        <v>1.0000000000000001E-5</v>
      </c>
      <c r="L103" s="30">
        <v>4.0000000000000001E-8</v>
      </c>
      <c r="M103" s="51">
        <v>0.9</v>
      </c>
      <c r="N103" s="4">
        <v>48</v>
      </c>
      <c r="O103" s="25">
        <v>4890000</v>
      </c>
      <c r="P103" s="15">
        <v>2.78</v>
      </c>
      <c r="Q103" s="43">
        <v>1.0000000000000001E-9</v>
      </c>
      <c r="R103" s="62"/>
      <c r="S103">
        <v>4.2700000000000004E-3</v>
      </c>
      <c r="T103">
        <v>1.03</v>
      </c>
      <c r="U103">
        <v>2.98</v>
      </c>
      <c r="W103" t="s">
        <v>441</v>
      </c>
      <c r="X103" t="s">
        <v>440</v>
      </c>
    </row>
    <row r="104" spans="1:24" x14ac:dyDescent="0.25">
      <c r="A104" s="38" t="s">
        <v>455</v>
      </c>
      <c r="B104" s="4" t="s">
        <v>284</v>
      </c>
      <c r="C104" s="4" t="s">
        <v>186</v>
      </c>
      <c r="D104" s="4" t="s">
        <v>433</v>
      </c>
      <c r="E104" s="6" t="s">
        <v>411</v>
      </c>
      <c r="F104" s="4">
        <v>100</v>
      </c>
      <c r="G104" s="4">
        <v>600</v>
      </c>
      <c r="H104" s="4">
        <v>400</v>
      </c>
      <c r="I104" s="4">
        <v>10</v>
      </c>
      <c r="J104" s="22">
        <v>15</v>
      </c>
      <c r="K104" s="30">
        <v>1.0000000000000001E-5</v>
      </c>
      <c r="L104" s="30">
        <v>4.0000000000000001E-8</v>
      </c>
      <c r="M104" s="51">
        <v>0.9</v>
      </c>
      <c r="N104" s="4">
        <v>48</v>
      </c>
      <c r="O104" s="25">
        <v>4890000</v>
      </c>
      <c r="P104" s="15">
        <v>2.78</v>
      </c>
      <c r="Q104" s="43">
        <v>1E-8</v>
      </c>
      <c r="R104" s="62"/>
      <c r="S104">
        <v>4.4999999999999997E-3</v>
      </c>
      <c r="T104">
        <v>1.71</v>
      </c>
      <c r="U104">
        <v>2.54</v>
      </c>
      <c r="W104" t="s">
        <v>329</v>
      </c>
      <c r="X104" t="s">
        <v>436</v>
      </c>
    </row>
    <row r="105" spans="1:24" x14ac:dyDescent="0.25">
      <c r="A105" s="38" t="s">
        <v>456</v>
      </c>
      <c r="B105" s="4" t="s">
        <v>284</v>
      </c>
      <c r="C105" s="4" t="s">
        <v>186</v>
      </c>
      <c r="D105" s="4" t="s">
        <v>433</v>
      </c>
      <c r="E105" s="6">
        <v>10</v>
      </c>
      <c r="F105" s="4">
        <v>100</v>
      </c>
      <c r="G105" s="4">
        <v>600</v>
      </c>
      <c r="H105" s="4">
        <v>400</v>
      </c>
      <c r="I105" s="4">
        <v>10</v>
      </c>
      <c r="J105" s="22">
        <v>30</v>
      </c>
      <c r="K105" s="30">
        <v>1.0000000000000001E-5</v>
      </c>
      <c r="L105" s="30">
        <v>4.0000000000000001E-8</v>
      </c>
      <c r="M105" s="51">
        <v>0.9</v>
      </c>
      <c r="N105" s="4">
        <v>48</v>
      </c>
      <c r="O105" s="25">
        <v>4890000</v>
      </c>
      <c r="P105" s="15">
        <v>2.78</v>
      </c>
      <c r="Q105" s="43">
        <v>1E-8</v>
      </c>
      <c r="R105" s="46">
        <v>1.5E-3</v>
      </c>
      <c r="S105">
        <v>0.17601</v>
      </c>
      <c r="T105">
        <v>4.62</v>
      </c>
      <c r="U105">
        <v>5.58</v>
      </c>
      <c r="W105" t="s">
        <v>438</v>
      </c>
      <c r="X105" t="s">
        <v>439</v>
      </c>
    </row>
    <row r="106" spans="1:24" x14ac:dyDescent="0.25">
      <c r="A106" s="38" t="s">
        <v>457</v>
      </c>
      <c r="B106" s="4" t="s">
        <v>284</v>
      </c>
      <c r="C106" s="4" t="s">
        <v>186</v>
      </c>
      <c r="D106" s="4" t="s">
        <v>433</v>
      </c>
      <c r="E106" s="6">
        <v>100</v>
      </c>
      <c r="F106" s="4">
        <v>100</v>
      </c>
      <c r="G106" s="4">
        <v>600</v>
      </c>
      <c r="H106" s="4">
        <v>400</v>
      </c>
      <c r="I106" s="4">
        <v>10</v>
      </c>
      <c r="J106" s="22">
        <v>15</v>
      </c>
      <c r="K106" s="30">
        <v>1.0000000000000001E-5</v>
      </c>
      <c r="L106" s="30">
        <v>4.0000000000000001E-8</v>
      </c>
      <c r="M106" s="51">
        <v>0.9</v>
      </c>
      <c r="N106" s="4">
        <v>48</v>
      </c>
      <c r="O106" s="25">
        <v>4890000</v>
      </c>
      <c r="P106" s="15">
        <v>2.78</v>
      </c>
      <c r="Q106" s="43">
        <v>1E-8</v>
      </c>
      <c r="R106" s="62"/>
      <c r="S106">
        <v>0.14788899999999999</v>
      </c>
      <c r="T106">
        <v>13.62</v>
      </c>
      <c r="U106">
        <v>13.65</v>
      </c>
      <c r="W106" t="s">
        <v>328</v>
      </c>
      <c r="X106" t="s">
        <v>437</v>
      </c>
    </row>
    <row r="107" spans="1:24" x14ac:dyDescent="0.25">
      <c r="A107" s="17" t="s">
        <v>239</v>
      </c>
      <c r="B107" s="8"/>
      <c r="C107" s="8"/>
      <c r="D107" s="8"/>
      <c r="E107" s="3"/>
      <c r="N107" s="8"/>
      <c r="O107" s="8"/>
      <c r="P107" s="3"/>
      <c r="Q107" s="8"/>
    </row>
    <row r="108" spans="1:24" x14ac:dyDescent="0.25">
      <c r="A108" s="3"/>
      <c r="B108" s="4">
        <v>3065</v>
      </c>
      <c r="C108" s="4">
        <v>625</v>
      </c>
      <c r="D108" s="4"/>
      <c r="E108" s="3">
        <v>65</v>
      </c>
      <c r="F108" s="4">
        <v>100</v>
      </c>
      <c r="G108" s="4">
        <v>600</v>
      </c>
      <c r="H108" s="4">
        <v>200</v>
      </c>
      <c r="I108" s="4">
        <v>10</v>
      </c>
      <c r="J108" s="22">
        <v>1</v>
      </c>
      <c r="K108" s="30">
        <v>1.0000000000000001E-5</v>
      </c>
      <c r="L108" s="30">
        <v>1.0000000000000001E-18</v>
      </c>
      <c r="M108" s="30"/>
      <c r="N108" s="4">
        <v>48</v>
      </c>
      <c r="O108" s="25">
        <v>4890000</v>
      </c>
      <c r="P108" s="15">
        <v>2.78</v>
      </c>
      <c r="Q108" s="35"/>
      <c r="R108" s="15"/>
      <c r="S108">
        <v>0.24</v>
      </c>
      <c r="X108" t="s">
        <v>242</v>
      </c>
    </row>
    <row r="109" spans="1:24" x14ac:dyDescent="0.25">
      <c r="A109" s="3"/>
      <c r="B109" s="4">
        <v>3065</v>
      </c>
      <c r="C109" s="4">
        <v>625</v>
      </c>
      <c r="D109" s="4"/>
      <c r="E109" s="3">
        <v>65</v>
      </c>
      <c r="F109" s="4">
        <v>100</v>
      </c>
      <c r="G109" s="4">
        <v>600</v>
      </c>
      <c r="H109" s="4">
        <v>200</v>
      </c>
      <c r="I109" s="4">
        <v>10</v>
      </c>
      <c r="J109" s="22">
        <v>15</v>
      </c>
      <c r="K109" s="30">
        <v>1.0000000000000001E-5</v>
      </c>
      <c r="L109" s="30">
        <v>1.0000000000000001E-18</v>
      </c>
      <c r="M109" s="30"/>
      <c r="N109" s="4">
        <v>48</v>
      </c>
      <c r="O109" s="25">
        <v>4890000</v>
      </c>
      <c r="P109" s="15">
        <v>2.78</v>
      </c>
      <c r="Q109" s="35"/>
      <c r="R109" s="15"/>
      <c r="X109" t="s">
        <v>243</v>
      </c>
    </row>
    <row r="110" spans="1:24" x14ac:dyDescent="0.25">
      <c r="A110" s="6">
        <v>1</v>
      </c>
      <c r="B110" s="4">
        <v>3065</v>
      </c>
      <c r="C110" s="4">
        <v>625</v>
      </c>
      <c r="D110" s="4"/>
      <c r="E110" s="6">
        <v>65</v>
      </c>
      <c r="F110" s="4">
        <v>100</v>
      </c>
      <c r="G110" s="4">
        <v>600</v>
      </c>
      <c r="H110" s="4">
        <v>400</v>
      </c>
      <c r="I110" s="4">
        <v>10</v>
      </c>
      <c r="J110" s="22">
        <v>15</v>
      </c>
      <c r="K110" s="30">
        <v>1.0000000000000001E-5</v>
      </c>
      <c r="L110" s="30">
        <v>1.0000000000000001E-18</v>
      </c>
      <c r="M110" s="30"/>
      <c r="N110" s="4">
        <v>48</v>
      </c>
      <c r="O110" s="25">
        <v>4890000</v>
      </c>
      <c r="P110" s="15">
        <v>2.78</v>
      </c>
      <c r="Q110" s="35"/>
      <c r="R110" s="15"/>
      <c r="S110" s="21">
        <v>0.15</v>
      </c>
      <c r="T110" s="21">
        <v>41</v>
      </c>
      <c r="U110" s="21"/>
      <c r="V110" s="21"/>
      <c r="W110" s="21"/>
      <c r="X110" s="21"/>
    </row>
    <row r="111" spans="1:24" x14ac:dyDescent="0.25">
      <c r="A111" s="6" t="s">
        <v>303</v>
      </c>
      <c r="B111" s="4"/>
      <c r="C111" s="4"/>
      <c r="D111" s="4"/>
      <c r="E111" s="6"/>
      <c r="F111" s="4"/>
      <c r="G111" s="4"/>
      <c r="H111" s="4"/>
      <c r="I111" s="4"/>
      <c r="J111" s="22"/>
      <c r="K111" s="30"/>
      <c r="L111" s="30"/>
      <c r="M111" s="30"/>
      <c r="N111" s="4"/>
      <c r="O111" s="25"/>
      <c r="P111" s="15"/>
      <c r="Q111" s="35"/>
      <c r="R111" s="15"/>
      <c r="S111" s="21"/>
      <c r="T111" s="21"/>
      <c r="U111" s="21"/>
      <c r="V111" s="21"/>
      <c r="W111" s="21"/>
      <c r="X111" s="21"/>
    </row>
    <row r="112" spans="1:24" x14ac:dyDescent="0.25">
      <c r="A112" s="38" t="s">
        <v>304</v>
      </c>
      <c r="B112" s="4" t="s">
        <v>284</v>
      </c>
      <c r="C112" s="8" t="s">
        <v>186</v>
      </c>
      <c r="D112" s="8"/>
      <c r="E112" s="3">
        <v>65</v>
      </c>
      <c r="F112" s="4">
        <v>100</v>
      </c>
      <c r="G112" s="4">
        <v>600</v>
      </c>
      <c r="H112" s="4">
        <v>400</v>
      </c>
      <c r="I112" s="4">
        <v>10</v>
      </c>
      <c r="J112" s="34">
        <v>15</v>
      </c>
      <c r="K112" s="2">
        <v>1.0000000000000001E-5</v>
      </c>
      <c r="L112" s="2">
        <v>4.0000000000000001E-8</v>
      </c>
      <c r="M112" s="2"/>
      <c r="N112">
        <v>48</v>
      </c>
      <c r="O112" s="9">
        <v>4890000</v>
      </c>
      <c r="P112" s="3">
        <v>2.78</v>
      </c>
      <c r="Q112" s="9">
        <v>1.0000000000000001E-9</v>
      </c>
      <c r="R112" s="36">
        <v>2.5000000000000001E-4</v>
      </c>
      <c r="S112" s="21"/>
      <c r="T112" s="33">
        <v>7.75</v>
      </c>
      <c r="U112" s="21"/>
      <c r="V112" s="21"/>
      <c r="W112" s="21"/>
      <c r="X112" s="21" t="s">
        <v>306</v>
      </c>
    </row>
    <row r="113" spans="1:24" x14ac:dyDescent="0.25">
      <c r="A113" s="38">
        <v>2</v>
      </c>
      <c r="B113" s="4" t="s">
        <v>284</v>
      </c>
      <c r="C113" s="8" t="s">
        <v>186</v>
      </c>
      <c r="D113" s="8"/>
      <c r="E113" s="3">
        <v>65</v>
      </c>
      <c r="F113" s="4">
        <v>100</v>
      </c>
      <c r="G113" s="4">
        <v>600</v>
      </c>
      <c r="H113" s="4">
        <v>400</v>
      </c>
      <c r="I113" s="4">
        <v>10</v>
      </c>
      <c r="J113" s="34">
        <v>15</v>
      </c>
      <c r="K113" s="2">
        <v>1.0000000000000001E-5</v>
      </c>
      <c r="L113" s="2">
        <v>4.0000000000000001E-8</v>
      </c>
      <c r="M113" s="2"/>
      <c r="N113">
        <v>48</v>
      </c>
      <c r="O113" s="9">
        <v>4890000</v>
      </c>
      <c r="P113" s="3">
        <v>2.78</v>
      </c>
      <c r="Q113" s="9">
        <v>1.0000000000000001E-9</v>
      </c>
      <c r="R113" s="36">
        <v>2.5000000000000001E-4</v>
      </c>
      <c r="S113" s="33">
        <v>0.06</v>
      </c>
      <c r="T113" s="33">
        <v>12.68</v>
      </c>
      <c r="U113" s="21"/>
      <c r="V113" s="21"/>
      <c r="W113" s="21"/>
      <c r="X113" s="21" t="s">
        <v>307</v>
      </c>
    </row>
    <row r="114" spans="1:24" x14ac:dyDescent="0.25">
      <c r="A114" s="1" t="s">
        <v>291</v>
      </c>
      <c r="B114" s="4" t="s">
        <v>284</v>
      </c>
      <c r="C114" s="8" t="s">
        <v>186</v>
      </c>
      <c r="D114" s="8"/>
      <c r="E114" s="3">
        <v>65</v>
      </c>
      <c r="F114" s="4">
        <v>100</v>
      </c>
      <c r="G114" s="4">
        <v>600</v>
      </c>
      <c r="H114" s="4">
        <v>400</v>
      </c>
      <c r="I114" s="4">
        <v>10</v>
      </c>
      <c r="J114" s="34">
        <v>15</v>
      </c>
      <c r="K114" s="2">
        <v>1.0000000000000001E-5</v>
      </c>
      <c r="L114" s="2">
        <v>4.0000000000000001E-8</v>
      </c>
      <c r="M114" s="2"/>
      <c r="N114">
        <v>48</v>
      </c>
      <c r="O114" s="9">
        <v>4890000</v>
      </c>
      <c r="P114" s="3">
        <v>2.78</v>
      </c>
      <c r="Q114" s="9">
        <v>1E-8</v>
      </c>
      <c r="R114" s="36">
        <v>2.5000000000000001E-4</v>
      </c>
      <c r="X114" s="21" t="s">
        <v>311</v>
      </c>
    </row>
    <row r="115" spans="1:24" x14ac:dyDescent="0.25">
      <c r="A115" s="1">
        <v>3</v>
      </c>
      <c r="B115" s="4" t="s">
        <v>284</v>
      </c>
      <c r="C115" s="8" t="s">
        <v>186</v>
      </c>
      <c r="D115" s="8" t="s">
        <v>186</v>
      </c>
      <c r="E115" s="3">
        <v>65</v>
      </c>
      <c r="F115" s="4">
        <v>100</v>
      </c>
      <c r="G115" s="4">
        <v>600</v>
      </c>
      <c r="H115" s="4">
        <v>400</v>
      </c>
      <c r="I115" s="4">
        <v>10</v>
      </c>
      <c r="J115" s="34">
        <v>15</v>
      </c>
      <c r="K115" s="2">
        <v>1.0000000000000001E-5</v>
      </c>
      <c r="L115" s="2">
        <v>4.0000000000000001E-8</v>
      </c>
      <c r="M115" s="28">
        <v>0.6</v>
      </c>
      <c r="N115">
        <v>48</v>
      </c>
      <c r="O115" s="9">
        <v>4890000</v>
      </c>
      <c r="P115" s="3">
        <v>2.78</v>
      </c>
      <c r="Q115" s="9">
        <v>1E-8</v>
      </c>
      <c r="R115" s="36">
        <v>2.5000000000000001E-4</v>
      </c>
      <c r="S115" s="33">
        <v>0.16</v>
      </c>
      <c r="T115" s="33">
        <v>6.09</v>
      </c>
      <c r="X115" s="21" t="s">
        <v>348</v>
      </c>
    </row>
    <row r="117" spans="1:24" x14ac:dyDescent="0.25">
      <c r="A117" s="52" t="s">
        <v>345</v>
      </c>
    </row>
    <row r="118" spans="1:24" x14ac:dyDescent="0.25">
      <c r="A118">
        <v>1</v>
      </c>
      <c r="B118" t="s">
        <v>343</v>
      </c>
      <c r="C118" t="s">
        <v>346</v>
      </c>
      <c r="D118" t="s">
        <v>326</v>
      </c>
      <c r="E118">
        <v>65</v>
      </c>
      <c r="F118" s="4">
        <v>100</v>
      </c>
      <c r="G118" s="4">
        <v>600</v>
      </c>
      <c r="H118" s="4">
        <v>400</v>
      </c>
      <c r="I118" s="4">
        <v>10</v>
      </c>
      <c r="J118" s="34">
        <v>15</v>
      </c>
      <c r="K118" s="2">
        <v>1.0000000000000001E-5</v>
      </c>
      <c r="L118" s="2">
        <v>4.0000000000000001E-8</v>
      </c>
      <c r="M118" s="28">
        <v>0.6</v>
      </c>
      <c r="N118">
        <v>48</v>
      </c>
      <c r="O118" s="9">
        <v>4890000</v>
      </c>
      <c r="P118" s="3">
        <v>3.44</v>
      </c>
      <c r="Q118" s="2">
        <v>1E-8</v>
      </c>
      <c r="R118" s="36">
        <v>5.0000000000000001E-4</v>
      </c>
      <c r="S118" s="33">
        <v>0.106</v>
      </c>
      <c r="T118" s="33">
        <v>4.4400000000000004</v>
      </c>
      <c r="W118" t="s">
        <v>328</v>
      </c>
      <c r="X118" t="s">
        <v>344</v>
      </c>
    </row>
    <row r="120" spans="1:24" x14ac:dyDescent="0.25">
      <c r="A120" s="27" t="s">
        <v>442</v>
      </c>
    </row>
    <row r="121" spans="1:24" x14ac:dyDescent="0.25">
      <c r="A121">
        <v>1</v>
      </c>
      <c r="B121" t="s">
        <v>443</v>
      </c>
      <c r="C121">
        <v>600</v>
      </c>
      <c r="D121" t="s">
        <v>433</v>
      </c>
      <c r="E121">
        <v>0</v>
      </c>
      <c r="F121">
        <v>100</v>
      </c>
      <c r="G121">
        <v>600</v>
      </c>
      <c r="H121">
        <v>400</v>
      </c>
      <c r="I121">
        <v>10</v>
      </c>
      <c r="J121">
        <v>15</v>
      </c>
      <c r="K121" s="2">
        <v>1.0000000000000001E-5</v>
      </c>
      <c r="L121" s="2">
        <v>9.9999999999999995E-7</v>
      </c>
      <c r="M121" s="28">
        <v>0.5</v>
      </c>
      <c r="N121">
        <v>48</v>
      </c>
      <c r="O121" s="9">
        <v>4890000</v>
      </c>
      <c r="P121" s="3">
        <v>0</v>
      </c>
      <c r="Q121" s="2">
        <v>1E-8</v>
      </c>
      <c r="R121" s="36">
        <v>5.0000000000000001E-4</v>
      </c>
      <c r="X121" t="s">
        <v>446</v>
      </c>
    </row>
    <row r="122" spans="1:24" x14ac:dyDescent="0.25">
      <c r="A122">
        <v>2</v>
      </c>
      <c r="B122" t="s">
        <v>443</v>
      </c>
      <c r="C122">
        <v>600</v>
      </c>
      <c r="D122" t="s">
        <v>444</v>
      </c>
      <c r="E122">
        <v>0</v>
      </c>
      <c r="F122">
        <v>100</v>
      </c>
      <c r="G122">
        <v>600</v>
      </c>
      <c r="H122">
        <v>400</v>
      </c>
      <c r="I122">
        <v>10</v>
      </c>
      <c r="J122">
        <v>15</v>
      </c>
      <c r="K122" s="2">
        <v>1.0000000000000001E-5</v>
      </c>
      <c r="L122" s="2">
        <v>9.9999999999999995E-7</v>
      </c>
      <c r="M122" s="28">
        <v>0.5</v>
      </c>
      <c r="N122">
        <v>48</v>
      </c>
      <c r="O122" s="9">
        <v>4890000</v>
      </c>
      <c r="P122" s="3">
        <v>0</v>
      </c>
      <c r="Q122" s="2">
        <v>1E-8</v>
      </c>
      <c r="R122" s="36">
        <v>5.0000000000000001E-4</v>
      </c>
      <c r="S122" s="21"/>
      <c r="T122" s="21"/>
      <c r="X122" t="s">
        <v>445</v>
      </c>
    </row>
    <row r="123" spans="1:24" x14ac:dyDescent="0.25">
      <c r="B123" t="s">
        <v>443</v>
      </c>
      <c r="C123">
        <v>600</v>
      </c>
      <c r="D123">
        <v>918</v>
      </c>
      <c r="E123">
        <v>0</v>
      </c>
      <c r="F123">
        <v>100</v>
      </c>
      <c r="G123">
        <v>600</v>
      </c>
      <c r="H123">
        <v>400</v>
      </c>
      <c r="I123">
        <v>10</v>
      </c>
      <c r="J123">
        <v>15</v>
      </c>
      <c r="K123" s="2">
        <v>1.0000000000000001E-5</v>
      </c>
      <c r="L123" s="2">
        <v>9.9999999999999995E-7</v>
      </c>
      <c r="M123" s="28">
        <v>0.5</v>
      </c>
      <c r="N123">
        <v>48</v>
      </c>
      <c r="O123" s="9">
        <v>4890000</v>
      </c>
      <c r="P123" s="3">
        <v>0</v>
      </c>
      <c r="Q123" s="2">
        <v>1E-8</v>
      </c>
      <c r="R123" s="36">
        <v>5.0000000000000001E-4</v>
      </c>
      <c r="X123" t="s">
        <v>447</v>
      </c>
    </row>
    <row r="124" spans="1:24" x14ac:dyDescent="0.25">
      <c r="A124">
        <v>3</v>
      </c>
      <c r="B124" s="65" t="s">
        <v>448</v>
      </c>
      <c r="C124">
        <v>600</v>
      </c>
      <c r="D124">
        <v>918</v>
      </c>
      <c r="E124">
        <v>0</v>
      </c>
      <c r="F124">
        <v>100</v>
      </c>
      <c r="G124">
        <v>600</v>
      </c>
      <c r="H124">
        <v>400</v>
      </c>
      <c r="I124">
        <v>10</v>
      </c>
      <c r="J124">
        <v>15</v>
      </c>
      <c r="K124" s="2">
        <v>1.0000000000000001E-5</v>
      </c>
      <c r="L124" s="2">
        <v>9.9999999999999995E-7</v>
      </c>
      <c r="M124" s="28">
        <v>0.5</v>
      </c>
      <c r="N124">
        <v>48</v>
      </c>
      <c r="O124" s="9">
        <v>4890000</v>
      </c>
      <c r="P124" s="3">
        <v>0</v>
      </c>
      <c r="Q124" s="2">
        <v>1E-8</v>
      </c>
      <c r="R124" s="36">
        <v>5.0000000000000001E-4</v>
      </c>
      <c r="X124" t="s">
        <v>449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IgnWaveData">
                <anchor moveWithCells="1" sizeWithCells="1">
                  <from>
                    <xdr:col>21</xdr:col>
                    <xdr:colOff>57150</xdr:colOff>
                    <xdr:row>0</xdr:row>
                    <xdr:rowOff>9525</xdr:rowOff>
                  </from>
                  <to>
                    <xdr:col>21</xdr:col>
                    <xdr:colOff>1038225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37584-9D97-449D-9697-B813996F054D}">
  <sheetPr codeName="Sheet4"/>
  <dimension ref="A1:AA130"/>
  <sheetViews>
    <sheetView zoomScaleNormal="100" workbookViewId="0">
      <pane xSplit="1" ySplit="2" topLeftCell="P3" activePane="bottomRight" state="frozen"/>
      <selection pane="topRight" activeCell="B1" sqref="B1"/>
      <selection pane="bottomLeft" activeCell="A3" sqref="A3"/>
      <selection pane="bottomRight" activeCell="S95" sqref="S95"/>
    </sheetView>
  </sheetViews>
  <sheetFormatPr defaultRowHeight="15" x14ac:dyDescent="0.25"/>
  <cols>
    <col min="1" max="1" width="26.140625" bestFit="1" customWidth="1"/>
    <col min="2" max="2" width="11.85546875" customWidth="1"/>
    <col min="3" max="3" width="12.42578125" bestFit="1" customWidth="1"/>
    <col min="4" max="4" width="12.5703125" bestFit="1" customWidth="1"/>
    <col min="5" max="5" width="10.28515625" bestFit="1" customWidth="1"/>
    <col min="6" max="6" width="8.28515625" customWidth="1"/>
    <col min="7" max="7" width="8.140625" customWidth="1"/>
    <col min="8" max="8" width="14.85546875" bestFit="1" customWidth="1"/>
    <col min="9" max="9" width="10.85546875" bestFit="1" customWidth="1"/>
    <col min="12" max="12" width="10" bestFit="1" customWidth="1"/>
    <col min="13" max="13" width="10" customWidth="1"/>
    <col min="14" max="14" width="10.85546875" bestFit="1" customWidth="1"/>
    <col min="16" max="16" width="12.42578125" bestFit="1" customWidth="1"/>
    <col min="17" max="17" width="12.42578125" customWidth="1"/>
    <col min="18" max="18" width="12.42578125" style="3" customWidth="1"/>
    <col min="19" max="19" width="10.28515625" customWidth="1"/>
    <col min="21" max="21" width="13.28515625" bestFit="1" customWidth="1"/>
    <col min="22" max="25" width="9.7109375" customWidth="1"/>
    <col min="26" max="26" width="49.85546875" customWidth="1"/>
  </cols>
  <sheetData>
    <row r="1" spans="1:26" ht="18.75" x14ac:dyDescent="0.3">
      <c r="A1" s="20" t="s">
        <v>335</v>
      </c>
      <c r="B1" s="8" t="s">
        <v>43</v>
      </c>
      <c r="C1" s="8"/>
      <c r="D1" s="8"/>
      <c r="E1" s="3"/>
      <c r="F1" t="s">
        <v>7</v>
      </c>
      <c r="I1" t="s">
        <v>464</v>
      </c>
      <c r="N1" s="8"/>
      <c r="O1" s="8"/>
      <c r="P1" s="3" t="s">
        <v>146</v>
      </c>
      <c r="Q1" s="8"/>
      <c r="S1" t="s">
        <v>8</v>
      </c>
      <c r="T1" t="s">
        <v>378</v>
      </c>
    </row>
    <row r="2" spans="1:26" x14ac:dyDescent="0.25">
      <c r="A2" s="3" t="s">
        <v>0</v>
      </c>
      <c r="B2" s="8" t="s">
        <v>169</v>
      </c>
      <c r="C2" s="8" t="s">
        <v>461</v>
      </c>
      <c r="D2" s="8" t="s">
        <v>462</v>
      </c>
      <c r="E2" s="3" t="s">
        <v>463</v>
      </c>
      <c r="F2" s="8" t="s">
        <v>38</v>
      </c>
      <c r="G2" s="8" t="s">
        <v>39</v>
      </c>
      <c r="H2" t="s">
        <v>1</v>
      </c>
      <c r="I2" t="s">
        <v>195</v>
      </c>
      <c r="J2" t="s">
        <v>196</v>
      </c>
      <c r="K2" t="s">
        <v>241</v>
      </c>
      <c r="L2" t="s">
        <v>465</v>
      </c>
      <c r="M2" t="s">
        <v>323</v>
      </c>
      <c r="N2" t="s">
        <v>3</v>
      </c>
      <c r="O2" s="8" t="s">
        <v>4</v>
      </c>
      <c r="P2" s="3" t="s">
        <v>145</v>
      </c>
      <c r="Q2" s="4" t="s">
        <v>287</v>
      </c>
      <c r="R2" s="3" t="s">
        <v>288</v>
      </c>
      <c r="S2" s="4" t="s">
        <v>9</v>
      </c>
      <c r="T2" s="4" t="s">
        <v>10</v>
      </c>
      <c r="U2" s="4" t="s">
        <v>379</v>
      </c>
      <c r="V2" s="4" t="s">
        <v>57</v>
      </c>
      <c r="W2" s="4" t="s">
        <v>604</v>
      </c>
      <c r="X2" s="4" t="s">
        <v>628</v>
      </c>
      <c r="Y2" s="4" t="s">
        <v>583</v>
      </c>
      <c r="Z2" s="4" t="s">
        <v>21</v>
      </c>
    </row>
    <row r="3" spans="1:26" x14ac:dyDescent="0.25">
      <c r="A3" s="17" t="s">
        <v>466</v>
      </c>
      <c r="B3" s="8"/>
      <c r="C3" s="8"/>
      <c r="D3" s="8"/>
      <c r="E3" s="3"/>
      <c r="F3" s="8"/>
      <c r="G3" s="8"/>
      <c r="O3" s="8"/>
      <c r="P3" s="3"/>
      <c r="Q3" s="4"/>
      <c r="S3" s="4"/>
      <c r="T3" s="4"/>
      <c r="U3" s="4"/>
      <c r="V3" s="4"/>
      <c r="W3" s="4"/>
      <c r="X3" s="4"/>
      <c r="Y3" s="4"/>
      <c r="Z3" s="4"/>
    </row>
    <row r="4" spans="1:26" x14ac:dyDescent="0.25">
      <c r="A4" s="3" t="s">
        <v>538</v>
      </c>
      <c r="B4" s="8"/>
      <c r="C4" s="8"/>
      <c r="D4" s="8"/>
      <c r="E4" s="3"/>
      <c r="F4" s="8"/>
      <c r="G4" s="8"/>
      <c r="O4" s="8"/>
      <c r="P4" s="3"/>
      <c r="Q4" s="4"/>
      <c r="S4" s="4"/>
      <c r="T4" s="4"/>
      <c r="U4" s="4"/>
      <c r="V4" s="4"/>
      <c r="W4" s="4"/>
      <c r="X4" s="4"/>
      <c r="Y4" s="4"/>
      <c r="Z4" s="4"/>
    </row>
    <row r="5" spans="1:26" x14ac:dyDescent="0.25">
      <c r="A5" s="38">
        <v>1</v>
      </c>
      <c r="B5" s="4" t="s">
        <v>443</v>
      </c>
      <c r="C5" s="4" t="s">
        <v>186</v>
      </c>
      <c r="D5" s="4" t="s">
        <v>433</v>
      </c>
      <c r="E5" s="6">
        <v>65</v>
      </c>
      <c r="F5" s="4">
        <v>100</v>
      </c>
      <c r="G5" s="4">
        <v>600</v>
      </c>
      <c r="H5" s="4">
        <v>400</v>
      </c>
      <c r="I5" s="4">
        <v>10</v>
      </c>
      <c r="J5" s="22">
        <v>15</v>
      </c>
      <c r="K5" s="30">
        <v>1.0000000000000001E-5</v>
      </c>
      <c r="L5" s="30">
        <v>4.0000000000000001E-8</v>
      </c>
      <c r="M5" s="51">
        <v>0.1</v>
      </c>
      <c r="N5" s="4">
        <v>48</v>
      </c>
      <c r="O5" s="25">
        <v>4890000</v>
      </c>
      <c r="P5" s="15">
        <v>2.78</v>
      </c>
      <c r="Q5" s="43">
        <v>1E-8</v>
      </c>
      <c r="R5" s="46">
        <v>2E-3</v>
      </c>
      <c r="S5" s="71">
        <v>0.27157999999999999</v>
      </c>
      <c r="T5" s="37">
        <v>2.76</v>
      </c>
      <c r="U5" s="21">
        <v>2.88</v>
      </c>
      <c r="V5" s="21">
        <v>0.156059</v>
      </c>
      <c r="W5" s="25">
        <v>8890000000</v>
      </c>
      <c r="X5" s="25">
        <f>M5^3/(1-M5)^2/72*L5^2/K5*101325/0.006</f>
        <v>4.6330589849108381E-8</v>
      </c>
      <c r="Y5" s="25"/>
      <c r="Z5" s="21"/>
    </row>
    <row r="6" spans="1:26" x14ac:dyDescent="0.25">
      <c r="A6" s="38">
        <v>2</v>
      </c>
      <c r="B6" s="4" t="s">
        <v>443</v>
      </c>
      <c r="C6" s="4" t="s">
        <v>186</v>
      </c>
      <c r="D6" s="4" t="s">
        <v>433</v>
      </c>
      <c r="E6" s="6">
        <v>65</v>
      </c>
      <c r="F6" s="4">
        <v>100</v>
      </c>
      <c r="G6" s="4">
        <v>600</v>
      </c>
      <c r="H6" s="4">
        <v>400</v>
      </c>
      <c r="I6" s="4">
        <v>10</v>
      </c>
      <c r="J6" s="22">
        <v>15</v>
      </c>
      <c r="K6" s="30">
        <v>1.0000000000000001E-5</v>
      </c>
      <c r="L6" s="30">
        <v>4.0000000000000001E-8</v>
      </c>
      <c r="M6" s="51">
        <v>0.3</v>
      </c>
      <c r="N6" s="4">
        <v>48</v>
      </c>
      <c r="O6" s="25">
        <v>4890000</v>
      </c>
      <c r="P6" s="15">
        <v>2.78</v>
      </c>
      <c r="Q6" s="43">
        <v>1E-8</v>
      </c>
      <c r="R6" s="46">
        <v>1.5E-3</v>
      </c>
      <c r="S6" s="71">
        <v>0.23105000000000001</v>
      </c>
      <c r="T6" s="37">
        <v>3.95</v>
      </c>
      <c r="U6" s="21">
        <v>3.72</v>
      </c>
      <c r="V6" s="21" t="s">
        <v>467</v>
      </c>
      <c r="W6" s="25">
        <v>2210000000</v>
      </c>
      <c r="X6" s="25">
        <f t="shared" ref="X6:X69" si="0">M6^3/(1-M6)^2/72*L6^2/K6*101325/0.006</f>
        <v>2.0678571428571426E-6</v>
      </c>
      <c r="Y6" s="25"/>
      <c r="Z6" s="21"/>
    </row>
    <row r="7" spans="1:26" x14ac:dyDescent="0.25">
      <c r="A7" s="38">
        <v>3</v>
      </c>
      <c r="B7" s="4" t="s">
        <v>443</v>
      </c>
      <c r="C7" s="4" t="s">
        <v>186</v>
      </c>
      <c r="D7" s="4" t="s">
        <v>433</v>
      </c>
      <c r="E7" s="6">
        <v>65</v>
      </c>
      <c r="F7" s="4">
        <v>100</v>
      </c>
      <c r="G7" s="4">
        <v>600</v>
      </c>
      <c r="H7" s="4">
        <v>400</v>
      </c>
      <c r="I7" s="4">
        <v>10</v>
      </c>
      <c r="J7" s="22">
        <v>15</v>
      </c>
      <c r="K7" s="30">
        <v>1.0000000000000001E-5</v>
      </c>
      <c r="L7" s="30">
        <v>4.0000000000000001E-8</v>
      </c>
      <c r="M7" s="51">
        <v>0.5</v>
      </c>
      <c r="N7" s="4">
        <v>48</v>
      </c>
      <c r="O7" s="25">
        <v>4890000</v>
      </c>
      <c r="P7" s="15">
        <v>2.78</v>
      </c>
      <c r="Q7" s="43">
        <v>1E-8</v>
      </c>
      <c r="R7" s="46">
        <v>1.1999999999999999E-3</v>
      </c>
      <c r="S7" s="71">
        <v>0.17995</v>
      </c>
      <c r="T7" s="37">
        <v>4.92</v>
      </c>
      <c r="U7" s="21">
        <v>5.1100000000000003</v>
      </c>
      <c r="V7" s="21">
        <v>0.17082700000000001</v>
      </c>
      <c r="W7" s="25">
        <v>818000000</v>
      </c>
      <c r="X7" s="25">
        <f t="shared" si="0"/>
        <v>1.8763888888888886E-5</v>
      </c>
      <c r="Y7" s="25"/>
      <c r="Z7" s="21"/>
    </row>
    <row r="8" spans="1:26" x14ac:dyDescent="0.25">
      <c r="A8" s="38">
        <v>4</v>
      </c>
      <c r="B8" s="4" t="s">
        <v>443</v>
      </c>
      <c r="C8" s="4" t="s">
        <v>186</v>
      </c>
      <c r="D8" s="4" t="s">
        <v>433</v>
      </c>
      <c r="E8" s="6">
        <v>65</v>
      </c>
      <c r="F8" s="4">
        <v>100</v>
      </c>
      <c r="G8" s="4">
        <v>600</v>
      </c>
      <c r="H8" s="4">
        <v>400</v>
      </c>
      <c r="I8" s="4">
        <v>10</v>
      </c>
      <c r="J8" s="22">
        <v>15</v>
      </c>
      <c r="K8" s="30">
        <v>1.0000000000000001E-5</v>
      </c>
      <c r="L8" s="30">
        <v>4.0000000000000001E-8</v>
      </c>
      <c r="M8" s="51">
        <v>0.7</v>
      </c>
      <c r="N8" s="4">
        <v>48</v>
      </c>
      <c r="O8" s="25">
        <v>4890000</v>
      </c>
      <c r="P8" s="15">
        <v>2.78</v>
      </c>
      <c r="Q8" s="43">
        <v>1E-8</v>
      </c>
      <c r="R8" s="46">
        <v>8.0000000000000004E-4</v>
      </c>
      <c r="S8" s="71">
        <v>0.12307700000000001</v>
      </c>
      <c r="T8" s="37">
        <v>7.05</v>
      </c>
      <c r="U8" s="21">
        <v>7.36</v>
      </c>
      <c r="V8" s="21">
        <v>0.17558000000000001</v>
      </c>
      <c r="W8" s="25">
        <v>267000000</v>
      </c>
      <c r="X8" s="25">
        <f t="shared" si="0"/>
        <v>1.4302253086419746E-4</v>
      </c>
      <c r="Y8" s="25"/>
      <c r="Z8" s="21"/>
    </row>
    <row r="9" spans="1:26" x14ac:dyDescent="0.25">
      <c r="A9" s="38">
        <v>5</v>
      </c>
      <c r="B9" s="4" t="s">
        <v>443</v>
      </c>
      <c r="C9" s="4" t="s">
        <v>186</v>
      </c>
      <c r="D9" s="4" t="s">
        <v>433</v>
      </c>
      <c r="E9" s="6">
        <v>65</v>
      </c>
      <c r="F9" s="4">
        <v>100</v>
      </c>
      <c r="G9" s="4">
        <v>600</v>
      </c>
      <c r="H9" s="4">
        <v>400</v>
      </c>
      <c r="I9" s="4">
        <v>10</v>
      </c>
      <c r="J9" s="22">
        <v>15</v>
      </c>
      <c r="K9" s="30">
        <v>1.0000000000000001E-5</v>
      </c>
      <c r="L9" s="30">
        <v>4.0000000000000001E-8</v>
      </c>
      <c r="M9" s="51">
        <v>0.9</v>
      </c>
      <c r="N9" s="4">
        <v>48</v>
      </c>
      <c r="O9" s="25">
        <v>4890000</v>
      </c>
      <c r="P9" s="15">
        <v>2.78</v>
      </c>
      <c r="Q9" s="43">
        <v>1E-8</v>
      </c>
      <c r="R9" s="46">
        <v>5.0000000000000001E-4</v>
      </c>
      <c r="S9" s="71">
        <v>6.3833000000000001E-2</v>
      </c>
      <c r="T9" s="37">
        <v>12.9</v>
      </c>
      <c r="U9" s="21">
        <v>13.67</v>
      </c>
      <c r="V9" s="21">
        <v>0.158551</v>
      </c>
      <c r="W9" s="25">
        <v>45300000</v>
      </c>
      <c r="X9" s="25">
        <f t="shared" si="0"/>
        <v>2.7357750000000011E-3</v>
      </c>
      <c r="Y9" s="25"/>
      <c r="Z9" s="21"/>
    </row>
    <row r="10" spans="1:26" x14ac:dyDescent="0.25">
      <c r="A10" s="16" t="s">
        <v>458</v>
      </c>
      <c r="B10" s="4"/>
      <c r="C10" s="4"/>
      <c r="D10" s="4"/>
      <c r="E10" s="6"/>
      <c r="F10" s="4"/>
      <c r="G10" s="4"/>
      <c r="H10" s="4"/>
      <c r="I10" s="21"/>
      <c r="J10" s="21"/>
      <c r="K10" s="21"/>
      <c r="L10" s="21"/>
      <c r="M10" s="21"/>
      <c r="N10" s="4"/>
      <c r="O10" s="23"/>
      <c r="P10" s="6"/>
      <c r="Q10" s="4"/>
      <c r="R10" s="6"/>
      <c r="S10" s="33"/>
      <c r="T10" s="33"/>
      <c r="U10" s="4"/>
      <c r="V10" s="21"/>
      <c r="W10" s="21"/>
      <c r="X10" s="21"/>
      <c r="Y10" s="21"/>
      <c r="Z10" s="21"/>
    </row>
    <row r="11" spans="1:26" x14ac:dyDescent="0.25">
      <c r="A11" s="38" t="s">
        <v>330</v>
      </c>
      <c r="B11" s="4" t="s">
        <v>443</v>
      </c>
      <c r="C11" s="4" t="s">
        <v>186</v>
      </c>
      <c r="D11" s="4" t="s">
        <v>433</v>
      </c>
      <c r="E11" s="6">
        <v>65</v>
      </c>
      <c r="F11" s="4">
        <v>100</v>
      </c>
      <c r="G11" s="4">
        <v>600</v>
      </c>
      <c r="H11" s="4">
        <v>400</v>
      </c>
      <c r="I11" s="4">
        <v>10</v>
      </c>
      <c r="J11" s="22">
        <v>15</v>
      </c>
      <c r="K11" s="30">
        <v>1.0000000000000001E-5</v>
      </c>
      <c r="L11" s="30">
        <v>9.9999999999999995E-7</v>
      </c>
      <c r="M11" s="51">
        <v>0.1</v>
      </c>
      <c r="N11" s="4">
        <v>48</v>
      </c>
      <c r="O11" s="25">
        <v>4890000</v>
      </c>
      <c r="P11" s="15">
        <v>2.78</v>
      </c>
      <c r="Q11" s="43">
        <v>1E-8</v>
      </c>
      <c r="R11" s="46">
        <v>1.5E-3</v>
      </c>
      <c r="S11" s="71">
        <v>0.2175</v>
      </c>
      <c r="T11" s="37">
        <v>5.25</v>
      </c>
      <c r="U11">
        <v>5.4</v>
      </c>
      <c r="V11">
        <v>0.17261299999999999</v>
      </c>
      <c r="W11" s="2">
        <v>2400000000</v>
      </c>
      <c r="X11" s="25">
        <f t="shared" si="0"/>
        <v>2.8956618655692734E-5</v>
      </c>
      <c r="Y11" s="2"/>
    </row>
    <row r="12" spans="1:26" x14ac:dyDescent="0.25">
      <c r="A12" s="38" t="s">
        <v>594</v>
      </c>
      <c r="B12" s="4" t="s">
        <v>443</v>
      </c>
      <c r="C12" s="4" t="s">
        <v>186</v>
      </c>
      <c r="D12" s="4" t="s">
        <v>433</v>
      </c>
      <c r="E12" s="6">
        <v>65</v>
      </c>
      <c r="F12" s="4">
        <v>100</v>
      </c>
      <c r="G12" s="4">
        <v>600</v>
      </c>
      <c r="H12" s="4">
        <v>400</v>
      </c>
      <c r="I12" s="4">
        <v>10</v>
      </c>
      <c r="J12" s="22">
        <v>15</v>
      </c>
      <c r="K12" s="30">
        <v>1.0000000000000001E-5</v>
      </c>
      <c r="L12" s="30">
        <v>9.9999999999999995E-7</v>
      </c>
      <c r="M12" s="51">
        <v>0.2</v>
      </c>
      <c r="N12" s="4">
        <v>48</v>
      </c>
      <c r="O12" s="25">
        <v>4890000</v>
      </c>
      <c r="P12" s="15">
        <v>2.78</v>
      </c>
      <c r="Q12" s="43">
        <v>1E-8</v>
      </c>
      <c r="R12" s="46">
        <v>1.5E-3</v>
      </c>
      <c r="S12" s="71">
        <v>0.212534</v>
      </c>
      <c r="T12" s="37">
        <v>5.99</v>
      </c>
      <c r="U12">
        <v>6.51</v>
      </c>
      <c r="V12">
        <v>0.17240900000000001</v>
      </c>
      <c r="W12" s="2">
        <v>502000000</v>
      </c>
      <c r="X12" s="25">
        <f t="shared" si="0"/>
        <v>2.9318576388888884E-4</v>
      </c>
      <c r="Y12" s="2"/>
    </row>
    <row r="13" spans="1:26" x14ac:dyDescent="0.25">
      <c r="A13" s="38" t="s">
        <v>603</v>
      </c>
      <c r="B13" s="4" t="s">
        <v>443</v>
      </c>
      <c r="C13" s="4" t="s">
        <v>186</v>
      </c>
      <c r="D13" s="4" t="s">
        <v>433</v>
      </c>
      <c r="E13" s="6">
        <v>65</v>
      </c>
      <c r="F13" s="4">
        <v>100</v>
      </c>
      <c r="G13" s="4">
        <v>600</v>
      </c>
      <c r="H13" s="4">
        <v>400</v>
      </c>
      <c r="I13" s="4">
        <v>10</v>
      </c>
      <c r="J13" s="22">
        <v>15</v>
      </c>
      <c r="K13" s="30">
        <v>1.0000000000000001E-5</v>
      </c>
      <c r="L13" s="30">
        <v>9.9999999999999995E-7</v>
      </c>
      <c r="M13" s="51">
        <v>0.25</v>
      </c>
      <c r="N13" s="4">
        <v>48</v>
      </c>
      <c r="O13" s="25">
        <v>4890000</v>
      </c>
      <c r="P13" s="15">
        <v>2.78</v>
      </c>
      <c r="Q13" s="43">
        <v>1E-8</v>
      </c>
      <c r="R13" s="46">
        <v>1.5E-3</v>
      </c>
      <c r="S13" s="71">
        <v>0.19870399999999999</v>
      </c>
      <c r="T13" s="37">
        <v>6.33</v>
      </c>
      <c r="U13">
        <v>6.56</v>
      </c>
      <c r="V13">
        <v>0.15767200000000001</v>
      </c>
      <c r="W13" s="2">
        <v>291000000</v>
      </c>
      <c r="X13" s="25">
        <f t="shared" si="0"/>
        <v>6.5152391975308629E-4</v>
      </c>
      <c r="Y13" s="2"/>
    </row>
    <row r="14" spans="1:26" x14ac:dyDescent="0.25">
      <c r="A14" s="38" t="s">
        <v>612</v>
      </c>
      <c r="B14" s="4" t="s">
        <v>443</v>
      </c>
      <c r="C14" s="4" t="s">
        <v>186</v>
      </c>
      <c r="D14" s="4" t="s">
        <v>433</v>
      </c>
      <c r="E14" s="6">
        <v>65</v>
      </c>
      <c r="F14" s="4">
        <v>100</v>
      </c>
      <c r="G14" s="4">
        <v>600</v>
      </c>
      <c r="H14" s="4">
        <v>400</v>
      </c>
      <c r="I14" s="4">
        <v>10</v>
      </c>
      <c r="J14" s="22">
        <v>15</v>
      </c>
      <c r="K14" s="30">
        <v>1.0000000000000001E-5</v>
      </c>
      <c r="L14" s="30">
        <v>9.9999999999999995E-7</v>
      </c>
      <c r="M14" s="51">
        <v>0.28000000000000003</v>
      </c>
      <c r="N14" s="4">
        <v>48</v>
      </c>
      <c r="O14" s="25">
        <v>4890000</v>
      </c>
      <c r="P14" s="15">
        <v>2.78</v>
      </c>
      <c r="Q14" s="43">
        <v>1E-8</v>
      </c>
      <c r="R14" s="46">
        <v>1.5E-3</v>
      </c>
      <c r="S14" s="71">
        <v>0.19429099999999999</v>
      </c>
      <c r="T14" s="37">
        <v>6.52</v>
      </c>
      <c r="U14">
        <v>7.41</v>
      </c>
      <c r="V14">
        <v>0.157551</v>
      </c>
      <c r="W14" s="2"/>
      <c r="X14" s="25">
        <f t="shared" si="0"/>
        <v>9.9321201989026092E-4</v>
      </c>
      <c r="Y14" s="2"/>
    </row>
    <row r="15" spans="1:26" x14ac:dyDescent="0.25">
      <c r="A15" s="38" t="s">
        <v>614</v>
      </c>
      <c r="B15" s="4" t="s">
        <v>443</v>
      </c>
      <c r="C15" s="4" t="s">
        <v>186</v>
      </c>
      <c r="D15" s="4" t="s">
        <v>433</v>
      </c>
      <c r="E15" s="6">
        <v>65</v>
      </c>
      <c r="F15" s="4">
        <v>100</v>
      </c>
      <c r="G15" s="4">
        <v>600</v>
      </c>
      <c r="H15" s="4">
        <v>400</v>
      </c>
      <c r="I15" s="4">
        <v>10</v>
      </c>
      <c r="J15" s="22">
        <v>15</v>
      </c>
      <c r="K15" s="30">
        <v>1.0000000000000001E-5</v>
      </c>
      <c r="L15" s="30">
        <v>9.9999999999999995E-7</v>
      </c>
      <c r="M15" s="51">
        <v>0.28999999999999998</v>
      </c>
      <c r="N15" s="4">
        <v>48</v>
      </c>
      <c r="O15" s="25">
        <v>4890000</v>
      </c>
      <c r="P15" s="15">
        <v>2.78</v>
      </c>
      <c r="Q15" s="43">
        <v>1E-8</v>
      </c>
      <c r="R15" s="46">
        <v>1.5E-3</v>
      </c>
      <c r="S15" s="71">
        <v>0.192828</v>
      </c>
      <c r="T15" s="37">
        <v>6.59</v>
      </c>
      <c r="U15">
        <v>7.83</v>
      </c>
      <c r="V15">
        <v>0.15837599999999999</v>
      </c>
      <c r="W15" s="2"/>
      <c r="X15" s="25">
        <f t="shared" si="0"/>
        <v>1.1347760516542131E-3</v>
      </c>
      <c r="Y15" s="2"/>
    </row>
    <row r="16" spans="1:26" x14ac:dyDescent="0.25">
      <c r="A16" s="38" t="s">
        <v>331</v>
      </c>
      <c r="B16" s="4" t="s">
        <v>443</v>
      </c>
      <c r="C16" s="4" t="s">
        <v>186</v>
      </c>
      <c r="D16" s="4" t="s">
        <v>433</v>
      </c>
      <c r="E16" s="6">
        <v>65</v>
      </c>
      <c r="F16" s="4">
        <v>100</v>
      </c>
      <c r="G16" s="4">
        <v>600</v>
      </c>
      <c r="H16" s="4">
        <v>400</v>
      </c>
      <c r="I16" s="4">
        <v>10</v>
      </c>
      <c r="J16" s="22">
        <v>15</v>
      </c>
      <c r="K16" s="30">
        <v>1.0000000000000001E-5</v>
      </c>
      <c r="L16" s="30">
        <v>9.9999999999999995E-7</v>
      </c>
      <c r="M16" s="51">
        <v>0.3</v>
      </c>
      <c r="N16" s="4">
        <v>48</v>
      </c>
      <c r="O16" s="25">
        <v>4890000</v>
      </c>
      <c r="P16" s="15">
        <v>2.78</v>
      </c>
      <c r="Q16" s="43">
        <v>1E-8</v>
      </c>
      <c r="R16" s="46">
        <v>1E-3</v>
      </c>
      <c r="S16" s="71">
        <v>0.19134000000000001</v>
      </c>
      <c r="T16" s="37">
        <v>6.93</v>
      </c>
      <c r="U16">
        <v>6.91</v>
      </c>
      <c r="V16">
        <v>0.16267000000000001</v>
      </c>
      <c r="W16" s="2">
        <v>186000000</v>
      </c>
      <c r="X16" s="25">
        <f t="shared" si="0"/>
        <v>1.2924107142857143E-3</v>
      </c>
      <c r="Y16" s="2"/>
    </row>
    <row r="17" spans="1:25" x14ac:dyDescent="0.25">
      <c r="A17" s="38" t="s">
        <v>595</v>
      </c>
      <c r="B17" s="4" t="s">
        <v>443</v>
      </c>
      <c r="C17" s="4" t="s">
        <v>186</v>
      </c>
      <c r="D17" s="4" t="s">
        <v>433</v>
      </c>
      <c r="E17" s="6">
        <v>65</v>
      </c>
      <c r="F17" s="4">
        <v>100</v>
      </c>
      <c r="G17" s="4">
        <v>600</v>
      </c>
      <c r="H17" s="4">
        <v>400</v>
      </c>
      <c r="I17" s="4">
        <v>10</v>
      </c>
      <c r="J17" s="22">
        <v>15</v>
      </c>
      <c r="K17" s="30">
        <v>1.0000000000000001E-5</v>
      </c>
      <c r="L17" s="30">
        <v>9.9999999999999995E-7</v>
      </c>
      <c r="M17" s="51">
        <v>0.31</v>
      </c>
      <c r="N17" s="4">
        <v>48</v>
      </c>
      <c r="O17" s="25">
        <v>4890000</v>
      </c>
      <c r="P17" s="15">
        <v>2.78</v>
      </c>
      <c r="Q17" s="43">
        <v>1E-8</v>
      </c>
      <c r="R17" s="46">
        <v>1E-3</v>
      </c>
      <c r="S17" s="71">
        <v>0.18986800000000001</v>
      </c>
      <c r="T17" s="37">
        <v>6.71</v>
      </c>
      <c r="U17">
        <v>7.1</v>
      </c>
      <c r="V17">
        <v>0.17873600000000001</v>
      </c>
      <c r="W17" s="2"/>
      <c r="X17" s="25">
        <f t="shared" si="0"/>
        <v>1.4676407632033422E-3</v>
      </c>
      <c r="Y17" s="2"/>
    </row>
    <row r="18" spans="1:25" x14ac:dyDescent="0.25">
      <c r="A18" s="38" t="s">
        <v>616</v>
      </c>
      <c r="B18" s="4" t="s">
        <v>443</v>
      </c>
      <c r="C18" s="4" t="s">
        <v>186</v>
      </c>
      <c r="D18" s="4" t="s">
        <v>433</v>
      </c>
      <c r="E18" s="6">
        <v>65</v>
      </c>
      <c r="F18" s="4">
        <v>100</v>
      </c>
      <c r="G18" s="4">
        <v>600</v>
      </c>
      <c r="H18" s="4">
        <v>400</v>
      </c>
      <c r="I18" s="4">
        <v>10</v>
      </c>
      <c r="J18" s="22">
        <v>15</v>
      </c>
      <c r="K18" s="30">
        <v>1.0000000000000001E-5</v>
      </c>
      <c r="L18" s="30">
        <v>9.9999999999999995E-7</v>
      </c>
      <c r="M18" s="51">
        <v>0.4</v>
      </c>
      <c r="N18" s="4">
        <v>48</v>
      </c>
      <c r="O18" s="25">
        <v>4890000</v>
      </c>
      <c r="P18" s="15">
        <v>2.78</v>
      </c>
      <c r="Q18" s="43">
        <v>1E-8</v>
      </c>
      <c r="R18" s="46">
        <v>1E-3</v>
      </c>
      <c r="S18" s="71">
        <v>0.14635600000000001</v>
      </c>
      <c r="T18" s="37">
        <v>7.28</v>
      </c>
      <c r="U18">
        <v>8.68</v>
      </c>
      <c r="V18">
        <v>0.169262</v>
      </c>
      <c r="W18" s="2">
        <v>82300000</v>
      </c>
      <c r="X18" s="25">
        <f t="shared" si="0"/>
        <v>4.1697530864197542E-3</v>
      </c>
      <c r="Y18" s="2"/>
    </row>
    <row r="19" spans="1:25" x14ac:dyDescent="0.25">
      <c r="A19" s="38" t="s">
        <v>332</v>
      </c>
      <c r="B19" s="4" t="s">
        <v>443</v>
      </c>
      <c r="C19" s="4" t="s">
        <v>186</v>
      </c>
      <c r="D19" s="4" t="s">
        <v>433</v>
      </c>
      <c r="E19" s="6">
        <v>65</v>
      </c>
      <c r="F19" s="4">
        <v>100</v>
      </c>
      <c r="G19" s="4">
        <v>600</v>
      </c>
      <c r="H19" s="4">
        <v>400</v>
      </c>
      <c r="I19" s="4">
        <v>10</v>
      </c>
      <c r="J19" s="22">
        <v>15</v>
      </c>
      <c r="K19" s="30">
        <v>1.0000000000000001E-5</v>
      </c>
      <c r="L19" s="30">
        <v>9.9999999999999995E-7</v>
      </c>
      <c r="M19" s="51">
        <v>0.5</v>
      </c>
      <c r="N19" s="4">
        <v>48</v>
      </c>
      <c r="O19" s="25">
        <v>4890000</v>
      </c>
      <c r="P19" s="15">
        <v>2.78</v>
      </c>
      <c r="Q19" s="43">
        <v>1.0000000000000001E-9</v>
      </c>
      <c r="R19" s="46">
        <v>8.0000000000000004E-4</v>
      </c>
      <c r="S19" s="71">
        <v>0.145952</v>
      </c>
      <c r="T19" s="37">
        <v>8.09</v>
      </c>
      <c r="U19" s="21">
        <v>8.3000000000000007</v>
      </c>
      <c r="V19" s="21">
        <v>0.15399499999999999</v>
      </c>
      <c r="W19" s="25">
        <v>42200000</v>
      </c>
      <c r="X19" s="25">
        <f t="shared" si="0"/>
        <v>1.1727430555555552E-2</v>
      </c>
      <c r="Y19" s="25"/>
    </row>
    <row r="20" spans="1:25" x14ac:dyDescent="0.25">
      <c r="A20" s="38" t="s">
        <v>333</v>
      </c>
      <c r="B20" s="4" t="s">
        <v>443</v>
      </c>
      <c r="C20" s="4" t="s">
        <v>186</v>
      </c>
      <c r="D20" s="4" t="s">
        <v>433</v>
      </c>
      <c r="E20" s="6">
        <v>65</v>
      </c>
      <c r="F20" s="4">
        <v>100</v>
      </c>
      <c r="G20" s="4">
        <v>600</v>
      </c>
      <c r="H20" s="4">
        <v>400</v>
      </c>
      <c r="I20" s="4">
        <v>10</v>
      </c>
      <c r="J20" s="22">
        <v>15</v>
      </c>
      <c r="K20" s="30">
        <v>1.0000000000000001E-5</v>
      </c>
      <c r="L20" s="30">
        <v>9.9999999999999995E-7</v>
      </c>
      <c r="M20" s="51">
        <v>0.7</v>
      </c>
      <c r="N20" s="4">
        <v>48</v>
      </c>
      <c r="O20" s="25">
        <v>4890000</v>
      </c>
      <c r="P20" s="15">
        <v>2.78</v>
      </c>
      <c r="Q20" s="43">
        <v>1.0000000000000001E-9</v>
      </c>
      <c r="R20" s="46">
        <v>5.4000000000000001E-4</v>
      </c>
      <c r="S20" s="71">
        <v>0.109858</v>
      </c>
      <c r="T20" s="37">
        <v>10.53</v>
      </c>
      <c r="U20" s="21">
        <v>10.78</v>
      </c>
      <c r="V20" s="21">
        <v>0.15581600000000001</v>
      </c>
      <c r="W20" s="25">
        <v>11800000</v>
      </c>
      <c r="X20" s="25">
        <f t="shared" si="0"/>
        <v>8.9389081790123406E-2</v>
      </c>
      <c r="Y20" s="25"/>
    </row>
    <row r="21" spans="1:25" x14ac:dyDescent="0.25">
      <c r="A21" s="38" t="s">
        <v>334</v>
      </c>
      <c r="B21" s="4" t="s">
        <v>443</v>
      </c>
      <c r="C21" s="4" t="s">
        <v>186</v>
      </c>
      <c r="D21" s="4" t="s">
        <v>433</v>
      </c>
      <c r="E21" s="6">
        <v>65</v>
      </c>
      <c r="F21" s="4">
        <v>100</v>
      </c>
      <c r="G21" s="4">
        <v>600</v>
      </c>
      <c r="H21" s="4">
        <v>400</v>
      </c>
      <c r="I21" s="4">
        <v>10</v>
      </c>
      <c r="J21" s="22">
        <v>15</v>
      </c>
      <c r="K21" s="30">
        <v>1.0000000000000001E-5</v>
      </c>
      <c r="L21" s="30">
        <v>9.9999999999999995E-7</v>
      </c>
      <c r="M21" s="51">
        <v>0.9</v>
      </c>
      <c r="N21" s="4">
        <v>48</v>
      </c>
      <c r="O21" s="25">
        <v>4890000</v>
      </c>
      <c r="P21" s="15">
        <v>2.78</v>
      </c>
      <c r="Q21" s="43">
        <v>1.0000000000000001E-9</v>
      </c>
      <c r="R21" s="46">
        <v>3.2000000000000003E-4</v>
      </c>
      <c r="S21" s="71">
        <v>5.8112999999999998E-2</v>
      </c>
      <c r="T21" s="37">
        <v>17.27</v>
      </c>
      <c r="U21" s="21">
        <v>18.13</v>
      </c>
      <c r="V21" s="21">
        <v>0.166072</v>
      </c>
      <c r="W21" s="25">
        <v>1890000</v>
      </c>
      <c r="X21" s="25">
        <f t="shared" si="0"/>
        <v>1.7098593750000008</v>
      </c>
      <c r="Y21" s="25"/>
    </row>
    <row r="22" spans="1:25" x14ac:dyDescent="0.25">
      <c r="A22" s="38" t="s">
        <v>622</v>
      </c>
      <c r="B22" s="4" t="s">
        <v>443</v>
      </c>
      <c r="C22" s="4" t="s">
        <v>186</v>
      </c>
      <c r="D22" s="4" t="s">
        <v>433</v>
      </c>
      <c r="E22" s="6">
        <v>65</v>
      </c>
      <c r="F22" s="4">
        <v>100</v>
      </c>
      <c r="G22" s="4">
        <v>600</v>
      </c>
      <c r="H22" s="4">
        <v>400</v>
      </c>
      <c r="I22" s="4">
        <v>10</v>
      </c>
      <c r="J22" s="22">
        <v>15</v>
      </c>
      <c r="K22" s="30">
        <v>1.0000000000000001E-5</v>
      </c>
      <c r="L22" s="30">
        <v>9.9999999999999995E-8</v>
      </c>
      <c r="M22" s="51">
        <v>0.1</v>
      </c>
      <c r="N22" s="4">
        <v>48</v>
      </c>
      <c r="O22" s="25">
        <v>4890000</v>
      </c>
      <c r="P22" s="15">
        <v>2.78</v>
      </c>
      <c r="Q22" s="43">
        <v>1.0000000000000001E-9</v>
      </c>
      <c r="R22" s="46">
        <v>1.5E-3</v>
      </c>
      <c r="S22" s="71">
        <v>0.26662000000000002</v>
      </c>
      <c r="T22" s="37">
        <v>3.14</v>
      </c>
      <c r="U22" s="21">
        <v>3.17</v>
      </c>
      <c r="V22" s="21">
        <v>0.17150000000000001</v>
      </c>
      <c r="W22" s="21"/>
      <c r="X22" s="25">
        <f t="shared" si="0"/>
        <v>2.8956618655692734E-7</v>
      </c>
      <c r="Y22" s="21"/>
    </row>
    <row r="23" spans="1:25" x14ac:dyDescent="0.25">
      <c r="A23" s="38" t="s">
        <v>623</v>
      </c>
      <c r="B23" s="4" t="s">
        <v>443</v>
      </c>
      <c r="C23" s="4" t="s">
        <v>186</v>
      </c>
      <c r="D23" s="4" t="s">
        <v>433</v>
      </c>
      <c r="E23" s="6">
        <v>65</v>
      </c>
      <c r="F23" s="4">
        <v>100</v>
      </c>
      <c r="G23" s="4">
        <v>600</v>
      </c>
      <c r="H23" s="4">
        <v>400</v>
      </c>
      <c r="I23" s="4">
        <v>10</v>
      </c>
      <c r="J23" s="22">
        <v>15</v>
      </c>
      <c r="K23" s="30">
        <v>1.0000000000000001E-5</v>
      </c>
      <c r="L23" s="30">
        <v>9.9999999999999995E-8</v>
      </c>
      <c r="M23" s="51">
        <v>0.3</v>
      </c>
      <c r="N23" s="4">
        <v>48</v>
      </c>
      <c r="O23" s="25">
        <v>4890000</v>
      </c>
      <c r="P23" s="15">
        <v>2.78</v>
      </c>
      <c r="Q23" s="43">
        <v>1.0000000000000001E-9</v>
      </c>
      <c r="R23" s="46">
        <v>1E-3</v>
      </c>
      <c r="S23" s="71">
        <v>0.22092000000000001</v>
      </c>
      <c r="T23" s="37">
        <v>4.5</v>
      </c>
      <c r="U23" s="21">
        <v>4.8</v>
      </c>
      <c r="V23" s="21">
        <v>0.17412900000000001</v>
      </c>
      <c r="W23" s="21"/>
      <c r="X23" s="25">
        <f t="shared" si="0"/>
        <v>1.2924107142857139E-5</v>
      </c>
      <c r="Y23" s="21"/>
    </row>
    <row r="24" spans="1:25" x14ac:dyDescent="0.25">
      <c r="A24" s="38" t="s">
        <v>624</v>
      </c>
      <c r="B24" s="4" t="s">
        <v>443</v>
      </c>
      <c r="C24" s="4" t="s">
        <v>186</v>
      </c>
      <c r="D24" s="4" t="s">
        <v>433</v>
      </c>
      <c r="E24" s="6">
        <v>65</v>
      </c>
      <c r="F24" s="4">
        <v>100</v>
      </c>
      <c r="G24" s="4">
        <v>600</v>
      </c>
      <c r="H24" s="4">
        <v>400</v>
      </c>
      <c r="I24" s="4">
        <v>10</v>
      </c>
      <c r="J24" s="22">
        <v>15</v>
      </c>
      <c r="K24" s="30">
        <v>1.0000000000000001E-5</v>
      </c>
      <c r="L24" s="30">
        <v>9.9999999999999995E-8</v>
      </c>
      <c r="M24" s="51">
        <v>0.5</v>
      </c>
      <c r="N24" s="4">
        <v>48</v>
      </c>
      <c r="O24" s="25">
        <v>4890000</v>
      </c>
      <c r="P24" s="15">
        <v>2.78</v>
      </c>
      <c r="Q24" s="43">
        <v>1.0000000000000001E-9</v>
      </c>
      <c r="R24" s="46">
        <v>1E-3</v>
      </c>
      <c r="S24" s="71">
        <v>0.17083999999999999</v>
      </c>
      <c r="T24" s="37">
        <v>6.12</v>
      </c>
      <c r="U24" s="21">
        <v>6.5</v>
      </c>
      <c r="V24" s="21">
        <v>0.17685000000000001</v>
      </c>
      <c r="W24" s="21"/>
      <c r="X24" s="25">
        <f t="shared" si="0"/>
        <v>1.1727430555555551E-4</v>
      </c>
      <c r="Y24" s="21"/>
    </row>
    <row r="25" spans="1:25" x14ac:dyDescent="0.25">
      <c r="A25" s="38" t="s">
        <v>625</v>
      </c>
      <c r="B25" s="4" t="s">
        <v>443</v>
      </c>
      <c r="C25" s="4" t="s">
        <v>186</v>
      </c>
      <c r="D25" s="4" t="s">
        <v>433</v>
      </c>
      <c r="E25" s="6">
        <v>65</v>
      </c>
      <c r="F25" s="4">
        <v>100</v>
      </c>
      <c r="G25" s="4">
        <v>600</v>
      </c>
      <c r="H25" s="4">
        <v>400</v>
      </c>
      <c r="I25" s="4">
        <v>10</v>
      </c>
      <c r="J25" s="22">
        <v>15</v>
      </c>
      <c r="K25" s="30">
        <v>1.0000000000000001E-5</v>
      </c>
      <c r="L25" s="30">
        <v>9.9999999999999995E-8</v>
      </c>
      <c r="M25" s="51">
        <v>0.7</v>
      </c>
      <c r="N25" s="4">
        <v>48</v>
      </c>
      <c r="O25" s="25">
        <v>4890000</v>
      </c>
      <c r="P25" s="15">
        <v>2.78</v>
      </c>
      <c r="Q25" s="43">
        <v>1.0000000000000001E-9</v>
      </c>
      <c r="R25" s="46">
        <v>8.0000000000000004E-4</v>
      </c>
      <c r="S25" s="71">
        <v>0.11011600000000001</v>
      </c>
      <c r="T25" s="37">
        <v>8.64</v>
      </c>
      <c r="U25" s="21">
        <v>9.1</v>
      </c>
      <c r="V25" s="21">
        <v>0.16786899999999999</v>
      </c>
      <c r="W25" s="21"/>
      <c r="X25" s="25">
        <f t="shared" si="0"/>
        <v>8.9389081790123399E-4</v>
      </c>
      <c r="Y25" s="21"/>
    </row>
    <row r="26" spans="1:25" x14ac:dyDescent="0.25">
      <c r="A26" s="38" t="s">
        <v>626</v>
      </c>
      <c r="B26" s="4" t="s">
        <v>443</v>
      </c>
      <c r="C26" s="4" t="s">
        <v>186</v>
      </c>
      <c r="D26" s="4" t="s">
        <v>433</v>
      </c>
      <c r="E26" s="6">
        <v>65</v>
      </c>
      <c r="F26" s="4">
        <v>100</v>
      </c>
      <c r="G26" s="4">
        <v>600</v>
      </c>
      <c r="H26" s="4">
        <v>400</v>
      </c>
      <c r="I26" s="4">
        <v>10</v>
      </c>
      <c r="J26" s="22">
        <v>15</v>
      </c>
      <c r="K26" s="30">
        <v>1.0000000000000001E-5</v>
      </c>
      <c r="L26" s="30">
        <v>9.9999999999999995E-8</v>
      </c>
      <c r="M26" s="51">
        <v>0.9</v>
      </c>
      <c r="N26" s="4">
        <v>48</v>
      </c>
      <c r="O26" s="25">
        <v>4890000</v>
      </c>
      <c r="P26" s="15">
        <v>2.78</v>
      </c>
      <c r="Q26" s="43">
        <v>1.0000000000000001E-9</v>
      </c>
      <c r="R26" s="46">
        <v>4.0000000000000002E-4</v>
      </c>
      <c r="S26" s="71">
        <v>6.3862000000000002E-2</v>
      </c>
      <c r="T26" s="21">
        <v>15.24</v>
      </c>
      <c r="U26" s="21">
        <v>15.95</v>
      </c>
      <c r="V26" s="21">
        <v>0.15906799999999999</v>
      </c>
      <c r="W26" s="21"/>
      <c r="X26" s="25">
        <f t="shared" si="0"/>
        <v>1.7098593750000005E-2</v>
      </c>
      <c r="Y26" s="21"/>
    </row>
    <row r="27" spans="1:25" x14ac:dyDescent="0.25">
      <c r="A27" s="38" t="s">
        <v>349</v>
      </c>
      <c r="B27" s="4" t="s">
        <v>443</v>
      </c>
      <c r="C27" s="4" t="s">
        <v>186</v>
      </c>
      <c r="D27" s="4" t="s">
        <v>433</v>
      </c>
      <c r="E27" s="6">
        <v>65</v>
      </c>
      <c r="F27" s="4">
        <v>100</v>
      </c>
      <c r="G27" s="4">
        <v>600</v>
      </c>
      <c r="H27" s="4">
        <v>400</v>
      </c>
      <c r="I27" s="4">
        <v>10</v>
      </c>
      <c r="J27" s="22">
        <v>15</v>
      </c>
      <c r="K27" s="30">
        <v>1.0000000000000001E-5</v>
      </c>
      <c r="L27" s="30">
        <v>1.5E-6</v>
      </c>
      <c r="M27" s="51">
        <v>0.9</v>
      </c>
      <c r="N27" s="4">
        <v>48</v>
      </c>
      <c r="O27" s="25">
        <v>4890000</v>
      </c>
      <c r="P27" s="15">
        <v>2.78</v>
      </c>
      <c r="Q27" s="43">
        <v>1.0000000000000001E-9</v>
      </c>
      <c r="R27" s="46">
        <v>1.4999999999999999E-4</v>
      </c>
      <c r="S27" s="71">
        <v>5.9459999999999999E-2</v>
      </c>
      <c r="T27" s="21">
        <v>15.26</v>
      </c>
      <c r="U27" s="21">
        <v>17.88</v>
      </c>
      <c r="V27" s="21">
        <v>0.152923</v>
      </c>
      <c r="W27" s="21"/>
      <c r="X27" s="25">
        <f t="shared" si="0"/>
        <v>3.8471835937500023</v>
      </c>
      <c r="Y27" s="21"/>
    </row>
    <row r="28" spans="1:25" x14ac:dyDescent="0.25">
      <c r="A28" s="38" t="s">
        <v>468</v>
      </c>
      <c r="B28" s="4" t="s">
        <v>443</v>
      </c>
      <c r="C28" s="4" t="s">
        <v>186</v>
      </c>
      <c r="D28" s="4" t="s">
        <v>433</v>
      </c>
      <c r="E28" s="6">
        <v>65</v>
      </c>
      <c r="F28" s="4">
        <v>100</v>
      </c>
      <c r="G28" s="4">
        <v>600</v>
      </c>
      <c r="H28" s="4">
        <v>400</v>
      </c>
      <c r="I28" s="4">
        <v>10</v>
      </c>
      <c r="J28" s="22">
        <v>15</v>
      </c>
      <c r="K28" s="30">
        <v>1.0000000000000001E-5</v>
      </c>
      <c r="L28" s="30">
        <v>1.0000000000000001E-5</v>
      </c>
      <c r="M28" s="51">
        <v>0.9</v>
      </c>
      <c r="N28" s="4">
        <v>48</v>
      </c>
      <c r="O28" s="25">
        <v>4890000</v>
      </c>
      <c r="P28" s="15">
        <v>2.78</v>
      </c>
      <c r="Q28" s="43">
        <v>1.0000000000000001E-9</v>
      </c>
      <c r="R28" s="46">
        <v>2.9999999999999997E-4</v>
      </c>
      <c r="S28" s="71">
        <v>6.2441000000000003E-2</v>
      </c>
      <c r="T28" s="21">
        <v>17.37</v>
      </c>
      <c r="U28" s="21">
        <v>18.36</v>
      </c>
      <c r="V28" s="21">
        <v>0.15035899999999999</v>
      </c>
      <c r="W28" s="21"/>
      <c r="X28" s="25">
        <f t="shared" si="0"/>
        <v>170.98593750000012</v>
      </c>
      <c r="Y28" s="21"/>
    </row>
    <row r="29" spans="1:25" x14ac:dyDescent="0.25">
      <c r="A29" s="27" t="s">
        <v>336</v>
      </c>
      <c r="E29" s="3"/>
      <c r="P29" s="3"/>
      <c r="S29" s="72"/>
      <c r="X29" s="25"/>
    </row>
    <row r="30" spans="1:25" x14ac:dyDescent="0.25">
      <c r="A30" s="55" t="s">
        <v>493</v>
      </c>
      <c r="E30" s="3"/>
      <c r="P30" s="3"/>
      <c r="S30" s="72"/>
      <c r="X30" s="25"/>
    </row>
    <row r="31" spans="1:25" x14ac:dyDescent="0.25">
      <c r="A31" s="55" t="s">
        <v>494</v>
      </c>
      <c r="E31" s="3"/>
      <c r="P31" s="3"/>
      <c r="S31" s="72"/>
      <c r="X31" s="25"/>
    </row>
    <row r="32" spans="1:25" x14ac:dyDescent="0.25">
      <c r="A32" s="55" t="s">
        <v>495</v>
      </c>
      <c r="E32" s="3"/>
      <c r="P32" s="3"/>
      <c r="S32" s="72"/>
      <c r="X32" s="25"/>
    </row>
    <row r="33" spans="1:26" x14ac:dyDescent="0.25">
      <c r="A33" s="55" t="s">
        <v>496</v>
      </c>
      <c r="E33" s="3"/>
      <c r="P33" s="3"/>
      <c r="S33" s="72"/>
      <c r="X33" s="25"/>
    </row>
    <row r="34" spans="1:26" x14ac:dyDescent="0.25">
      <c r="A34" s="55" t="s">
        <v>497</v>
      </c>
      <c r="E34" s="3"/>
      <c r="P34" s="3"/>
      <c r="S34" s="72"/>
      <c r="X34" s="25"/>
    </row>
    <row r="35" spans="1:26" x14ac:dyDescent="0.25">
      <c r="A35" s="55" t="s">
        <v>498</v>
      </c>
      <c r="B35" s="4" t="s">
        <v>443</v>
      </c>
      <c r="C35" s="4" t="s">
        <v>186</v>
      </c>
      <c r="D35" s="4" t="s">
        <v>433</v>
      </c>
      <c r="E35" s="6">
        <v>1</v>
      </c>
      <c r="F35" s="4">
        <v>100</v>
      </c>
      <c r="G35" s="4">
        <v>600</v>
      </c>
      <c r="H35" s="4">
        <v>400</v>
      </c>
      <c r="I35" s="4">
        <v>10</v>
      </c>
      <c r="J35" s="22">
        <v>15</v>
      </c>
      <c r="K35" s="30">
        <v>1.0000000000000001E-5</v>
      </c>
      <c r="L35" s="30">
        <v>4.0000000000000001E-8</v>
      </c>
      <c r="M35" s="51">
        <v>0.1</v>
      </c>
      <c r="N35" s="4">
        <v>48</v>
      </c>
      <c r="O35" s="25">
        <v>4890000</v>
      </c>
      <c r="P35" s="15">
        <v>2.78</v>
      </c>
      <c r="Q35" s="43">
        <v>1E-8</v>
      </c>
      <c r="R35" s="46">
        <v>1.6E-2</v>
      </c>
      <c r="S35" s="71">
        <v>2.1899999999999999E-2</v>
      </c>
      <c r="T35">
        <v>0.64</v>
      </c>
      <c r="U35">
        <v>1.19</v>
      </c>
      <c r="V35">
        <v>0.164106</v>
      </c>
      <c r="X35" s="25">
        <f t="shared" si="0"/>
        <v>4.6330589849108381E-8</v>
      </c>
    </row>
    <row r="36" spans="1:26" x14ac:dyDescent="0.25">
      <c r="A36" s="55" t="s">
        <v>499</v>
      </c>
      <c r="B36" s="4" t="s">
        <v>443</v>
      </c>
      <c r="C36" s="4" t="s">
        <v>186</v>
      </c>
      <c r="D36" s="4" t="s">
        <v>433</v>
      </c>
      <c r="E36" s="6">
        <v>1</v>
      </c>
      <c r="F36" s="4">
        <v>100</v>
      </c>
      <c r="G36" s="4">
        <v>600</v>
      </c>
      <c r="H36" s="4">
        <v>400</v>
      </c>
      <c r="I36" s="4">
        <v>10</v>
      </c>
      <c r="J36" s="22">
        <v>15</v>
      </c>
      <c r="K36" s="30">
        <v>1.0000000000000001E-5</v>
      </c>
      <c r="L36" s="30">
        <v>4.0000000000000001E-8</v>
      </c>
      <c r="M36" s="51">
        <v>0.3</v>
      </c>
      <c r="N36" s="4">
        <v>48</v>
      </c>
      <c r="O36" s="25">
        <v>4890000</v>
      </c>
      <c r="P36" s="15">
        <v>2.78</v>
      </c>
      <c r="Q36" s="43">
        <v>1E-8</v>
      </c>
      <c r="R36" s="46">
        <v>1.2E-2</v>
      </c>
      <c r="S36" s="71">
        <v>1.813E-2</v>
      </c>
      <c r="T36">
        <v>0.81</v>
      </c>
      <c r="U36">
        <v>1.52</v>
      </c>
      <c r="V36">
        <v>0.16400899999999999</v>
      </c>
      <c r="X36" s="25">
        <f t="shared" si="0"/>
        <v>2.0678571428571426E-6</v>
      </c>
    </row>
    <row r="37" spans="1:26" x14ac:dyDescent="0.25">
      <c r="A37" s="55" t="s">
        <v>500</v>
      </c>
      <c r="B37" s="4" t="s">
        <v>443</v>
      </c>
      <c r="C37" s="4" t="s">
        <v>186</v>
      </c>
      <c r="D37" s="4" t="s">
        <v>433</v>
      </c>
      <c r="E37" s="6">
        <v>1</v>
      </c>
      <c r="F37" s="4">
        <v>100</v>
      </c>
      <c r="G37" s="4">
        <v>600</v>
      </c>
      <c r="H37" s="4">
        <v>400</v>
      </c>
      <c r="I37" s="4">
        <v>10</v>
      </c>
      <c r="J37" s="22">
        <v>15</v>
      </c>
      <c r="K37" s="30">
        <v>1.0000000000000001E-5</v>
      </c>
      <c r="L37" s="30">
        <v>4.0000000000000001E-8</v>
      </c>
      <c r="M37" s="51">
        <v>0.5</v>
      </c>
      <c r="N37" s="4">
        <v>48</v>
      </c>
      <c r="O37" s="25">
        <v>4890000</v>
      </c>
      <c r="P37" s="15">
        <v>2.78</v>
      </c>
      <c r="Q37" s="43">
        <v>1E-8</v>
      </c>
      <c r="R37" s="46">
        <v>9.5999999999999992E-3</v>
      </c>
      <c r="S37" s="71">
        <v>1.4120000000000001E-2</v>
      </c>
      <c r="T37">
        <v>0.96</v>
      </c>
      <c r="U37">
        <v>2.5099999999999998</v>
      </c>
      <c r="V37">
        <v>0.163711</v>
      </c>
      <c r="X37" s="25">
        <f t="shared" si="0"/>
        <v>1.8763888888888886E-5</v>
      </c>
    </row>
    <row r="38" spans="1:26" x14ac:dyDescent="0.25">
      <c r="A38" s="55" t="s">
        <v>501</v>
      </c>
      <c r="B38" s="4" t="s">
        <v>443</v>
      </c>
      <c r="C38" s="4" t="s">
        <v>186</v>
      </c>
      <c r="D38" s="4" t="s">
        <v>433</v>
      </c>
      <c r="E38" s="6">
        <v>1</v>
      </c>
      <c r="F38" s="4">
        <v>100</v>
      </c>
      <c r="G38" s="4">
        <v>600</v>
      </c>
      <c r="H38" s="4">
        <v>400</v>
      </c>
      <c r="I38" s="4">
        <v>10</v>
      </c>
      <c r="J38" s="22">
        <v>15</v>
      </c>
      <c r="K38" s="30">
        <v>1.0000000000000001E-5</v>
      </c>
      <c r="L38" s="30">
        <v>4.0000000000000001E-8</v>
      </c>
      <c r="M38" s="51">
        <v>0.7</v>
      </c>
      <c r="N38" s="4">
        <v>48</v>
      </c>
      <c r="O38" s="25">
        <v>4890000</v>
      </c>
      <c r="P38" s="15">
        <v>2.78</v>
      </c>
      <c r="Q38" s="43">
        <v>1E-8</v>
      </c>
      <c r="R38" s="46">
        <v>6.4000000000000003E-3</v>
      </c>
      <c r="S38" s="71">
        <v>9.7199999999999995E-3</v>
      </c>
      <c r="T38">
        <v>1.18</v>
      </c>
      <c r="U38">
        <v>4.75</v>
      </c>
      <c r="V38">
        <v>0.16636500000000001</v>
      </c>
      <c r="X38" s="25">
        <f t="shared" si="0"/>
        <v>1.4302253086419746E-4</v>
      </c>
    </row>
    <row r="39" spans="1:26" x14ac:dyDescent="0.25">
      <c r="A39" s="55" t="s">
        <v>502</v>
      </c>
      <c r="B39" s="4" t="s">
        <v>443</v>
      </c>
      <c r="C39" s="4" t="s">
        <v>186</v>
      </c>
      <c r="D39" s="4" t="s">
        <v>433</v>
      </c>
      <c r="E39" s="6">
        <v>1</v>
      </c>
      <c r="F39" s="4">
        <v>100</v>
      </c>
      <c r="G39" s="4">
        <v>600</v>
      </c>
      <c r="H39" s="4">
        <v>400</v>
      </c>
      <c r="I39" s="4">
        <v>10</v>
      </c>
      <c r="J39" s="22">
        <v>15</v>
      </c>
      <c r="K39" s="30">
        <v>1.0000000000000001E-5</v>
      </c>
      <c r="L39" s="30">
        <v>4.0000000000000001E-8</v>
      </c>
      <c r="M39" s="51">
        <v>0.9</v>
      </c>
      <c r="N39" s="4">
        <v>48</v>
      </c>
      <c r="O39" s="25">
        <v>4890000</v>
      </c>
      <c r="P39" s="15">
        <v>2.78</v>
      </c>
      <c r="Q39" s="43">
        <v>1E-8</v>
      </c>
      <c r="R39" s="46">
        <v>4.0000000000000001E-3</v>
      </c>
      <c r="S39" s="71">
        <v>4.5100000000000001E-3</v>
      </c>
      <c r="T39">
        <v>2</v>
      </c>
      <c r="U39">
        <v>2.48</v>
      </c>
      <c r="V39">
        <v>0.16794700000000001</v>
      </c>
      <c r="X39" s="25">
        <f t="shared" si="0"/>
        <v>2.7357750000000011E-3</v>
      </c>
    </row>
    <row r="40" spans="1:26" x14ac:dyDescent="0.25">
      <c r="A40" s="55" t="s">
        <v>503</v>
      </c>
      <c r="B40" s="4" t="s">
        <v>443</v>
      </c>
      <c r="C40" s="4" t="s">
        <v>186</v>
      </c>
      <c r="D40" s="4" t="s">
        <v>433</v>
      </c>
      <c r="E40" s="6">
        <v>100</v>
      </c>
      <c r="F40" s="4">
        <v>100</v>
      </c>
      <c r="G40" s="4">
        <v>600</v>
      </c>
      <c r="H40" s="4">
        <v>400</v>
      </c>
      <c r="I40" s="4">
        <v>10</v>
      </c>
      <c r="J40" s="22">
        <v>15</v>
      </c>
      <c r="K40" s="30">
        <v>1.0000000000000001E-5</v>
      </c>
      <c r="L40" s="30">
        <v>4.0000000000000001E-8</v>
      </c>
      <c r="M40" s="51">
        <v>0.1</v>
      </c>
      <c r="N40" s="4">
        <v>48</v>
      </c>
      <c r="O40" s="25">
        <v>4890000</v>
      </c>
      <c r="P40" s="15">
        <v>2.78</v>
      </c>
      <c r="Q40" s="43">
        <v>1E-8</v>
      </c>
      <c r="R40" s="46">
        <v>2E-3</v>
      </c>
      <c r="S40" s="71">
        <v>0.26504</v>
      </c>
      <c r="T40">
        <v>3.42</v>
      </c>
      <c r="U40">
        <v>6.78</v>
      </c>
      <c r="V40">
        <v>0.164852</v>
      </c>
      <c r="X40" s="25">
        <f t="shared" si="0"/>
        <v>4.6330589849108381E-8</v>
      </c>
    </row>
    <row r="41" spans="1:26" x14ac:dyDescent="0.25">
      <c r="A41" s="55" t="s">
        <v>504</v>
      </c>
      <c r="B41" s="4" t="s">
        <v>443</v>
      </c>
      <c r="C41" s="4" t="s">
        <v>186</v>
      </c>
      <c r="D41" s="4" t="s">
        <v>433</v>
      </c>
      <c r="E41" s="6">
        <v>100</v>
      </c>
      <c r="F41" s="4">
        <v>100</v>
      </c>
      <c r="G41" s="4">
        <v>600</v>
      </c>
      <c r="H41" s="4">
        <v>400</v>
      </c>
      <c r="I41" s="4">
        <v>10</v>
      </c>
      <c r="J41" s="22">
        <v>15</v>
      </c>
      <c r="K41" s="30">
        <v>1.0000000000000001E-5</v>
      </c>
      <c r="L41" s="30">
        <v>4.0000000000000001E-8</v>
      </c>
      <c r="M41" s="51">
        <v>0.3</v>
      </c>
      <c r="N41" s="4">
        <v>48</v>
      </c>
      <c r="O41" s="25">
        <v>4890000</v>
      </c>
      <c r="P41" s="15">
        <v>2.78</v>
      </c>
      <c r="Q41" s="43">
        <v>1E-8</v>
      </c>
      <c r="R41" s="46">
        <v>1.5E-3</v>
      </c>
      <c r="S41" s="71">
        <v>0.29774</v>
      </c>
      <c r="T41">
        <v>4.47</v>
      </c>
      <c r="U41">
        <v>4.49</v>
      </c>
      <c r="V41">
        <v>0.17205599999999999</v>
      </c>
      <c r="X41" s="25">
        <f t="shared" si="0"/>
        <v>2.0678571428571426E-6</v>
      </c>
    </row>
    <row r="42" spans="1:26" x14ac:dyDescent="0.25">
      <c r="A42" s="55" t="s">
        <v>505</v>
      </c>
      <c r="B42" s="4" t="s">
        <v>443</v>
      </c>
      <c r="C42" s="4" t="s">
        <v>186</v>
      </c>
      <c r="D42" s="4" t="s">
        <v>433</v>
      </c>
      <c r="E42" s="6">
        <v>100</v>
      </c>
      <c r="F42" s="4">
        <v>100</v>
      </c>
      <c r="G42" s="4">
        <v>600</v>
      </c>
      <c r="H42" s="4">
        <v>400</v>
      </c>
      <c r="I42" s="4">
        <v>10</v>
      </c>
      <c r="J42" s="22">
        <v>15</v>
      </c>
      <c r="K42" s="30">
        <v>1.0000000000000001E-5</v>
      </c>
      <c r="L42" s="30">
        <v>4.0000000000000001E-8</v>
      </c>
      <c r="M42" s="51">
        <v>0.5</v>
      </c>
      <c r="N42" s="4">
        <v>48</v>
      </c>
      <c r="O42" s="25">
        <v>4890000</v>
      </c>
      <c r="P42" s="15">
        <v>2.78</v>
      </c>
      <c r="Q42" s="43">
        <v>1E-8</v>
      </c>
      <c r="R42" s="46">
        <v>1.1999999999999999E-3</v>
      </c>
      <c r="S42" s="71">
        <v>0.23356299999999999</v>
      </c>
      <c r="T42">
        <v>5.87</v>
      </c>
      <c r="U42">
        <v>6.02</v>
      </c>
      <c r="V42">
        <v>0.172897</v>
      </c>
      <c r="X42" s="25">
        <f t="shared" si="0"/>
        <v>1.8763888888888886E-5</v>
      </c>
    </row>
    <row r="43" spans="1:26" x14ac:dyDescent="0.25">
      <c r="A43" s="55" t="s">
        <v>506</v>
      </c>
      <c r="B43" s="4" t="s">
        <v>443</v>
      </c>
      <c r="C43" s="4" t="s">
        <v>186</v>
      </c>
      <c r="D43" s="4" t="s">
        <v>433</v>
      </c>
      <c r="E43" s="6">
        <v>100</v>
      </c>
      <c r="F43" s="4">
        <v>100</v>
      </c>
      <c r="G43" s="4">
        <v>600</v>
      </c>
      <c r="H43" s="4">
        <v>400</v>
      </c>
      <c r="I43" s="4">
        <v>10</v>
      </c>
      <c r="J43" s="22">
        <v>15</v>
      </c>
      <c r="K43" s="30">
        <v>1.0000000000000001E-5</v>
      </c>
      <c r="L43" s="30">
        <v>4.0000000000000001E-8</v>
      </c>
      <c r="M43" s="51">
        <v>0.7</v>
      </c>
      <c r="N43" s="4">
        <v>48</v>
      </c>
      <c r="O43" s="25">
        <v>4890000</v>
      </c>
      <c r="P43" s="15">
        <v>2.78</v>
      </c>
      <c r="Q43" s="43">
        <v>1E-8</v>
      </c>
      <c r="R43" s="46">
        <v>8.0000000000000004E-4</v>
      </c>
      <c r="S43" s="71">
        <v>0.166348</v>
      </c>
      <c r="T43">
        <v>8.2899999999999991</v>
      </c>
      <c r="U43">
        <v>8.66</v>
      </c>
      <c r="V43">
        <v>0.16008</v>
      </c>
      <c r="X43" s="25">
        <f t="shared" si="0"/>
        <v>1.4302253086419746E-4</v>
      </c>
    </row>
    <row r="44" spans="1:26" x14ac:dyDescent="0.25">
      <c r="A44" s="55" t="s">
        <v>507</v>
      </c>
      <c r="B44" s="4" t="s">
        <v>443</v>
      </c>
      <c r="C44" s="4" t="s">
        <v>186</v>
      </c>
      <c r="D44" s="4" t="s">
        <v>433</v>
      </c>
      <c r="E44" s="6">
        <v>100</v>
      </c>
      <c r="F44" s="4">
        <v>100</v>
      </c>
      <c r="G44" s="4">
        <v>600</v>
      </c>
      <c r="H44" s="4">
        <v>400</v>
      </c>
      <c r="I44" s="4">
        <v>30</v>
      </c>
      <c r="J44" s="22">
        <v>15</v>
      </c>
      <c r="K44" s="30">
        <v>1.0000000000000001E-5</v>
      </c>
      <c r="L44" s="30">
        <v>4.0000000000000001E-8</v>
      </c>
      <c r="M44" s="51">
        <v>0.9</v>
      </c>
      <c r="N44" s="4">
        <v>48</v>
      </c>
      <c r="O44" s="25">
        <v>4890000</v>
      </c>
      <c r="P44" s="15">
        <v>2.78</v>
      </c>
      <c r="Q44" s="43">
        <v>1E-8</v>
      </c>
      <c r="R44" s="46">
        <v>5.0000000000000001E-4</v>
      </c>
      <c r="S44" s="71">
        <v>0.14632500000000001</v>
      </c>
      <c r="T44" s="21">
        <v>15.16</v>
      </c>
      <c r="U44" s="21">
        <v>15.93</v>
      </c>
      <c r="V44" s="21">
        <v>0.191971</v>
      </c>
      <c r="W44" s="21"/>
      <c r="X44" s="25">
        <f t="shared" si="0"/>
        <v>2.7357750000000011E-3</v>
      </c>
      <c r="Y44" s="21"/>
      <c r="Z44" t="s">
        <v>555</v>
      </c>
    </row>
    <row r="45" spans="1:26" x14ac:dyDescent="0.25">
      <c r="A45" s="52" t="s">
        <v>487</v>
      </c>
      <c r="E45" s="3"/>
      <c r="P45" s="3"/>
      <c r="X45" s="25"/>
    </row>
    <row r="46" spans="1:26" x14ac:dyDescent="0.25">
      <c r="A46" s="55" t="s">
        <v>508</v>
      </c>
      <c r="B46" t="s">
        <v>474</v>
      </c>
      <c r="C46" s="4" t="s">
        <v>186</v>
      </c>
      <c r="D46" s="4" t="s">
        <v>473</v>
      </c>
      <c r="E46" s="6">
        <v>65</v>
      </c>
      <c r="F46" s="4">
        <v>100</v>
      </c>
      <c r="G46" s="4">
        <v>600</v>
      </c>
      <c r="H46" s="4">
        <v>400</v>
      </c>
      <c r="I46" s="4">
        <v>10</v>
      </c>
      <c r="J46" s="22">
        <v>15</v>
      </c>
      <c r="K46" s="30">
        <v>1.0000000000000001E-5</v>
      </c>
      <c r="L46" s="30">
        <v>4.0000000000000001E-8</v>
      </c>
      <c r="M46" s="51">
        <v>0.1</v>
      </c>
      <c r="N46" s="4">
        <v>48</v>
      </c>
      <c r="O46" s="25">
        <v>4890000</v>
      </c>
      <c r="P46" s="15">
        <v>2.78</v>
      </c>
      <c r="Q46" s="43">
        <v>1E-8</v>
      </c>
      <c r="R46" s="46">
        <v>2E-3</v>
      </c>
      <c r="S46" s="21">
        <v>0.16874</v>
      </c>
      <c r="T46" s="21">
        <v>3.49</v>
      </c>
      <c r="U46" s="21">
        <v>3.86</v>
      </c>
      <c r="V46" s="21">
        <v>0.121834</v>
      </c>
      <c r="W46" s="21"/>
      <c r="X46" s="25">
        <f t="shared" si="0"/>
        <v>4.6330589849108381E-8</v>
      </c>
      <c r="Y46" s="21"/>
    </row>
    <row r="47" spans="1:26" x14ac:dyDescent="0.25">
      <c r="A47" s="55" t="s">
        <v>509</v>
      </c>
      <c r="B47" t="s">
        <v>474</v>
      </c>
      <c r="C47" s="4" t="s">
        <v>186</v>
      </c>
      <c r="D47" s="4" t="s">
        <v>473</v>
      </c>
      <c r="E47" s="6">
        <v>65</v>
      </c>
      <c r="F47" s="4">
        <v>100</v>
      </c>
      <c r="G47" s="4">
        <v>600</v>
      </c>
      <c r="H47" s="4">
        <v>400</v>
      </c>
      <c r="I47" s="4">
        <v>10</v>
      </c>
      <c r="J47" s="22">
        <v>15</v>
      </c>
      <c r="K47" s="30">
        <v>1.0000000000000001E-5</v>
      </c>
      <c r="L47" s="30">
        <v>4.0000000000000001E-8</v>
      </c>
      <c r="M47" s="51">
        <v>0.3</v>
      </c>
      <c r="N47" s="4">
        <v>48</v>
      </c>
      <c r="O47" s="25">
        <v>4890000</v>
      </c>
      <c r="P47" s="15">
        <v>2.78</v>
      </c>
      <c r="Q47" s="43">
        <v>1E-8</v>
      </c>
      <c r="R47" s="46">
        <v>1.5E-3</v>
      </c>
      <c r="S47" s="21">
        <v>0.21782000000000001</v>
      </c>
      <c r="T47" s="21">
        <v>4.3099999999999996</v>
      </c>
      <c r="U47" s="21">
        <v>4.45</v>
      </c>
      <c r="V47" s="21">
        <v>0.117132</v>
      </c>
      <c r="W47" s="21"/>
      <c r="X47" s="25">
        <f t="shared" si="0"/>
        <v>2.0678571428571426E-6</v>
      </c>
      <c r="Y47" s="21"/>
    </row>
    <row r="48" spans="1:26" x14ac:dyDescent="0.25">
      <c r="A48" s="55" t="s">
        <v>510</v>
      </c>
      <c r="B48" t="s">
        <v>474</v>
      </c>
      <c r="C48" s="4" t="s">
        <v>186</v>
      </c>
      <c r="D48" s="4" t="s">
        <v>473</v>
      </c>
      <c r="E48" s="6">
        <v>65</v>
      </c>
      <c r="F48" s="4">
        <v>100</v>
      </c>
      <c r="G48" s="4">
        <v>600</v>
      </c>
      <c r="H48" s="4">
        <v>400</v>
      </c>
      <c r="I48" s="4">
        <v>10</v>
      </c>
      <c r="J48" s="22">
        <v>15</v>
      </c>
      <c r="K48" s="30">
        <v>1.0000000000000001E-5</v>
      </c>
      <c r="L48" s="30">
        <v>4.0000000000000001E-8</v>
      </c>
      <c r="M48" s="51">
        <v>0.5</v>
      </c>
      <c r="N48" s="4">
        <v>48</v>
      </c>
      <c r="O48" s="25">
        <v>4890000</v>
      </c>
      <c r="P48" s="15">
        <v>2.78</v>
      </c>
      <c r="Q48" s="43">
        <v>1E-8</v>
      </c>
      <c r="R48" s="46">
        <v>1.1999999999999999E-3</v>
      </c>
      <c r="S48" s="21">
        <v>0.12575</v>
      </c>
      <c r="T48" s="21">
        <v>5.28</v>
      </c>
      <c r="U48" s="21">
        <v>5.36</v>
      </c>
      <c r="V48" s="21">
        <v>0.11849700000000001</v>
      </c>
      <c r="W48" s="21"/>
      <c r="X48" s="25">
        <f t="shared" si="0"/>
        <v>1.8763888888888886E-5</v>
      </c>
      <c r="Y48" s="21"/>
    </row>
    <row r="49" spans="1:26" x14ac:dyDescent="0.25">
      <c r="A49" s="55" t="s">
        <v>511</v>
      </c>
      <c r="B49" t="s">
        <v>474</v>
      </c>
      <c r="C49" s="4" t="s">
        <v>186</v>
      </c>
      <c r="D49" s="4" t="s">
        <v>473</v>
      </c>
      <c r="E49" s="6">
        <v>65</v>
      </c>
      <c r="F49" s="4">
        <v>100</v>
      </c>
      <c r="G49" s="4">
        <v>600</v>
      </c>
      <c r="H49" s="4">
        <v>400</v>
      </c>
      <c r="I49" s="4">
        <v>10</v>
      </c>
      <c r="J49" s="22">
        <v>15</v>
      </c>
      <c r="K49" s="30">
        <v>1.0000000000000001E-5</v>
      </c>
      <c r="L49" s="30">
        <v>4.0000000000000001E-8</v>
      </c>
      <c r="M49" s="51">
        <v>0.7</v>
      </c>
      <c r="N49" s="4">
        <v>48</v>
      </c>
      <c r="O49" s="25">
        <v>4890000</v>
      </c>
      <c r="P49" s="15">
        <v>2.78</v>
      </c>
      <c r="Q49" s="43">
        <v>1E-8</v>
      </c>
      <c r="R49" s="46">
        <v>8.0000000000000004E-4</v>
      </c>
      <c r="S49" s="21">
        <v>9.4036999999999996E-2</v>
      </c>
      <c r="T49" s="21">
        <v>7.01</v>
      </c>
      <c r="U49" s="21">
        <v>7.1</v>
      </c>
      <c r="V49" s="21">
        <v>0.119113</v>
      </c>
      <c r="W49" s="21"/>
      <c r="X49" s="25">
        <f t="shared" si="0"/>
        <v>1.4302253086419746E-4</v>
      </c>
      <c r="Y49" s="21"/>
    </row>
    <row r="50" spans="1:26" x14ac:dyDescent="0.25">
      <c r="A50" s="55" t="s">
        <v>488</v>
      </c>
      <c r="B50" t="s">
        <v>474</v>
      </c>
      <c r="C50" s="4" t="s">
        <v>186</v>
      </c>
      <c r="D50" s="4" t="s">
        <v>473</v>
      </c>
      <c r="E50" s="6">
        <v>65</v>
      </c>
      <c r="F50" s="4">
        <v>100</v>
      </c>
      <c r="G50" s="4">
        <v>600</v>
      </c>
      <c r="H50" s="4">
        <v>400</v>
      </c>
      <c r="I50" s="4">
        <v>10</v>
      </c>
      <c r="J50" s="22">
        <v>15</v>
      </c>
      <c r="K50" s="30">
        <v>1.0000000000000001E-5</v>
      </c>
      <c r="L50" s="30">
        <v>4.0000000000000001E-8</v>
      </c>
      <c r="M50" s="51">
        <v>0.9</v>
      </c>
      <c r="N50" s="4">
        <v>48</v>
      </c>
      <c r="O50" s="25">
        <v>4890000</v>
      </c>
      <c r="P50" s="15">
        <v>2.78</v>
      </c>
      <c r="Q50" s="43">
        <v>1E-8</v>
      </c>
      <c r="R50" s="46">
        <v>5.0000000000000001E-4</v>
      </c>
      <c r="S50" s="72">
        <v>5.5808999999999997E-2</v>
      </c>
      <c r="T50">
        <v>12.34</v>
      </c>
      <c r="U50">
        <v>12.53</v>
      </c>
      <c r="V50">
        <v>0.119482</v>
      </c>
      <c r="X50" s="25">
        <f t="shared" si="0"/>
        <v>2.7357750000000011E-3</v>
      </c>
    </row>
    <row r="51" spans="1:26" x14ac:dyDescent="0.25">
      <c r="A51" s="70" t="s">
        <v>512</v>
      </c>
      <c r="C51" s="4"/>
      <c r="D51" s="4"/>
      <c r="E51" s="6"/>
      <c r="F51" s="4"/>
      <c r="G51" s="4"/>
      <c r="H51" s="4"/>
      <c r="I51" s="4"/>
      <c r="J51" s="22"/>
      <c r="K51" s="30"/>
      <c r="L51" s="30"/>
      <c r="M51" s="51"/>
      <c r="N51" s="4"/>
      <c r="O51" s="25"/>
      <c r="P51" s="15"/>
      <c r="Q51" s="43"/>
      <c r="R51" s="46"/>
      <c r="S51" s="72"/>
      <c r="X51" s="25"/>
    </row>
    <row r="52" spans="1:26" x14ac:dyDescent="0.25">
      <c r="A52" s="70" t="s">
        <v>513</v>
      </c>
      <c r="C52" s="4"/>
      <c r="D52" s="4"/>
      <c r="E52" s="6"/>
      <c r="F52" s="4"/>
      <c r="G52" s="4"/>
      <c r="H52" s="4"/>
      <c r="I52" s="4"/>
      <c r="J52" s="22"/>
      <c r="K52" s="30"/>
      <c r="L52" s="30"/>
      <c r="M52" s="51"/>
      <c r="N52" s="4"/>
      <c r="O52" s="25"/>
      <c r="P52" s="15"/>
      <c r="Q52" s="43"/>
      <c r="R52" s="46"/>
      <c r="S52" s="72"/>
      <c r="X52" s="25"/>
    </row>
    <row r="53" spans="1:26" x14ac:dyDescent="0.25">
      <c r="A53" s="70" t="s">
        <v>514</v>
      </c>
      <c r="C53" s="4"/>
      <c r="D53" s="4"/>
      <c r="E53" s="6"/>
      <c r="F53" s="4"/>
      <c r="G53" s="4"/>
      <c r="H53" s="4"/>
      <c r="I53" s="4"/>
      <c r="J53" s="22"/>
      <c r="K53" s="30"/>
      <c r="L53" s="30"/>
      <c r="M53" s="51"/>
      <c r="N53" s="4"/>
      <c r="O53" s="25"/>
      <c r="P53" s="15"/>
      <c r="Q53" s="43"/>
      <c r="R53" s="46"/>
      <c r="S53" s="72"/>
      <c r="X53" s="25"/>
    </row>
    <row r="54" spans="1:26" x14ac:dyDescent="0.25">
      <c r="A54" s="70" t="s">
        <v>515</v>
      </c>
      <c r="C54" s="4"/>
      <c r="D54" s="4"/>
      <c r="E54" s="6"/>
      <c r="F54" s="4"/>
      <c r="G54" s="4"/>
      <c r="H54" s="4"/>
      <c r="I54" s="4"/>
      <c r="J54" s="22"/>
      <c r="K54" s="30"/>
      <c r="L54" s="30"/>
      <c r="M54" s="51"/>
      <c r="N54" s="4"/>
      <c r="O54" s="25"/>
      <c r="P54" s="15"/>
      <c r="Q54" s="43"/>
      <c r="R54" s="46"/>
      <c r="S54" s="72"/>
      <c r="X54" s="25"/>
    </row>
    <row r="55" spans="1:26" x14ac:dyDescent="0.25">
      <c r="A55" s="70" t="s">
        <v>489</v>
      </c>
      <c r="B55" t="s">
        <v>471</v>
      </c>
      <c r="C55" s="4" t="s">
        <v>186</v>
      </c>
      <c r="D55" s="4" t="s">
        <v>472</v>
      </c>
      <c r="E55" s="6">
        <v>65</v>
      </c>
      <c r="F55" s="4">
        <v>100</v>
      </c>
      <c r="G55" s="4">
        <v>600</v>
      </c>
      <c r="H55" s="4">
        <v>400</v>
      </c>
      <c r="I55" s="4">
        <v>10</v>
      </c>
      <c r="J55" s="22">
        <v>15</v>
      </c>
      <c r="K55" s="30">
        <v>1.0000000000000001E-5</v>
      </c>
      <c r="L55" s="30">
        <v>4.0000000000000001E-8</v>
      </c>
      <c r="M55" s="51">
        <v>0.9</v>
      </c>
      <c r="N55" s="4">
        <v>48</v>
      </c>
      <c r="O55" s="25">
        <v>4890000</v>
      </c>
      <c r="P55" s="15">
        <v>2.78</v>
      </c>
      <c r="Q55" s="43">
        <v>1E-8</v>
      </c>
      <c r="R55" s="46">
        <v>5.0000000000000001E-4</v>
      </c>
      <c r="S55" s="72">
        <v>5.6417000000000002E-2</v>
      </c>
      <c r="T55">
        <v>12.75</v>
      </c>
      <c r="U55">
        <v>12.98</v>
      </c>
      <c r="V55">
        <v>0.124593</v>
      </c>
      <c r="X55" s="25">
        <f t="shared" si="0"/>
        <v>2.7357750000000011E-3</v>
      </c>
    </row>
    <row r="56" spans="1:26" x14ac:dyDescent="0.25">
      <c r="A56" s="70" t="s">
        <v>516</v>
      </c>
      <c r="B56" t="s">
        <v>475</v>
      </c>
      <c r="C56" s="4" t="s">
        <v>186</v>
      </c>
      <c r="D56" s="4" t="s">
        <v>541</v>
      </c>
      <c r="E56" s="6">
        <v>65</v>
      </c>
      <c r="F56" s="4">
        <v>100</v>
      </c>
      <c r="G56" s="4">
        <v>600</v>
      </c>
      <c r="H56" s="4">
        <v>400</v>
      </c>
      <c r="I56" s="4">
        <v>10</v>
      </c>
      <c r="J56" s="22">
        <v>15</v>
      </c>
      <c r="K56" s="30">
        <v>1.0000000000000001E-5</v>
      </c>
      <c r="L56" s="30">
        <v>4.0000000000000001E-8</v>
      </c>
      <c r="M56" s="51">
        <v>0.1</v>
      </c>
      <c r="N56" s="4">
        <v>48</v>
      </c>
      <c r="O56" s="25">
        <v>4890000</v>
      </c>
      <c r="P56" s="15">
        <v>2.78</v>
      </c>
      <c r="Q56" s="43">
        <v>1E-8</v>
      </c>
      <c r="R56" s="46">
        <v>2E-3</v>
      </c>
      <c r="S56" s="71">
        <v>0.24177999999999999</v>
      </c>
      <c r="T56" s="21">
        <v>3.37</v>
      </c>
      <c r="U56" s="21">
        <v>3.64</v>
      </c>
      <c r="V56" s="21">
        <v>0.11626400000000001</v>
      </c>
      <c r="W56" s="21"/>
      <c r="X56" s="25">
        <f t="shared" si="0"/>
        <v>4.6330589849108381E-8</v>
      </c>
      <c r="Y56" s="21"/>
    </row>
    <row r="57" spans="1:26" x14ac:dyDescent="0.25">
      <c r="A57" s="70" t="s">
        <v>517</v>
      </c>
      <c r="B57" t="s">
        <v>475</v>
      </c>
      <c r="C57" s="4" t="s">
        <v>186</v>
      </c>
      <c r="D57" s="4" t="s">
        <v>541</v>
      </c>
      <c r="E57" s="6">
        <v>65</v>
      </c>
      <c r="F57" s="4">
        <v>100</v>
      </c>
      <c r="G57" s="4">
        <v>600</v>
      </c>
      <c r="H57" s="4">
        <v>400</v>
      </c>
      <c r="I57" s="4">
        <v>10</v>
      </c>
      <c r="J57" s="22">
        <v>15</v>
      </c>
      <c r="K57" s="30">
        <v>1.0000000000000001E-5</v>
      </c>
      <c r="L57" s="30">
        <v>4.0000000000000001E-8</v>
      </c>
      <c r="M57" s="51">
        <v>0.3</v>
      </c>
      <c r="N57" s="4">
        <v>48</v>
      </c>
      <c r="O57" s="25">
        <v>4890000</v>
      </c>
      <c r="P57" s="15">
        <v>2.78</v>
      </c>
      <c r="Q57" s="43">
        <v>1E-8</v>
      </c>
      <c r="R57" s="46">
        <v>1.5E-3</v>
      </c>
      <c r="S57" s="71">
        <v>0.19311</v>
      </c>
      <c r="T57" s="21">
        <v>4.62</v>
      </c>
      <c r="U57" s="21">
        <v>4.7300000000000004</v>
      </c>
      <c r="V57" s="21">
        <v>0.115893</v>
      </c>
      <c r="W57" s="21"/>
      <c r="X57" s="25">
        <f t="shared" si="0"/>
        <v>2.0678571428571426E-6</v>
      </c>
      <c r="Y57" s="21"/>
    </row>
    <row r="58" spans="1:26" x14ac:dyDescent="0.25">
      <c r="A58" s="70" t="s">
        <v>518</v>
      </c>
      <c r="B58" t="s">
        <v>475</v>
      </c>
      <c r="C58" s="4" t="s">
        <v>186</v>
      </c>
      <c r="D58" s="4" t="s">
        <v>541</v>
      </c>
      <c r="E58" s="6">
        <v>65</v>
      </c>
      <c r="F58" s="4">
        <v>100</v>
      </c>
      <c r="G58" s="4">
        <v>600</v>
      </c>
      <c r="H58" s="4">
        <v>400</v>
      </c>
      <c r="I58" s="4">
        <v>10</v>
      </c>
      <c r="J58" s="22">
        <v>15</v>
      </c>
      <c r="K58" s="30">
        <v>1.0000000000000001E-5</v>
      </c>
      <c r="L58" s="30">
        <v>4.0000000000000001E-8</v>
      </c>
      <c r="M58" s="51">
        <v>0.5</v>
      </c>
      <c r="N58" s="4">
        <v>48</v>
      </c>
      <c r="O58" s="25">
        <v>4890000</v>
      </c>
      <c r="P58" s="15">
        <v>2.78</v>
      </c>
      <c r="Q58" s="43">
        <v>1E-8</v>
      </c>
      <c r="R58" s="46">
        <v>1.1999999999999999E-3</v>
      </c>
      <c r="S58" s="71">
        <v>0.12945000000000001</v>
      </c>
      <c r="T58" s="21">
        <v>5.73</v>
      </c>
      <c r="U58" s="21">
        <v>5.84</v>
      </c>
      <c r="V58" s="21">
        <v>0.116218</v>
      </c>
      <c r="W58" s="21"/>
      <c r="X58" s="25">
        <f t="shared" si="0"/>
        <v>1.8763888888888886E-5</v>
      </c>
      <c r="Y58" s="21"/>
    </row>
    <row r="59" spans="1:26" x14ac:dyDescent="0.25">
      <c r="A59" s="70" t="s">
        <v>519</v>
      </c>
      <c r="B59" t="s">
        <v>475</v>
      </c>
      <c r="C59" s="4" t="s">
        <v>186</v>
      </c>
      <c r="D59" s="4" t="s">
        <v>541</v>
      </c>
      <c r="E59" s="6">
        <v>65</v>
      </c>
      <c r="F59" s="4">
        <v>100</v>
      </c>
      <c r="G59" s="4">
        <v>600</v>
      </c>
      <c r="H59" s="4">
        <v>400</v>
      </c>
      <c r="I59" s="4">
        <v>10</v>
      </c>
      <c r="J59" s="22">
        <v>15</v>
      </c>
      <c r="K59" s="30">
        <v>1.0000000000000001E-5</v>
      </c>
      <c r="L59" s="30">
        <v>4.0000000000000001E-8</v>
      </c>
      <c r="M59" s="51">
        <v>0.7</v>
      </c>
      <c r="N59" s="4">
        <v>48</v>
      </c>
      <c r="O59" s="25">
        <v>4890000</v>
      </c>
      <c r="P59" s="15">
        <v>2.78</v>
      </c>
      <c r="Q59" s="43">
        <v>1E-8</v>
      </c>
      <c r="R59" s="46">
        <v>8.0000000000000004E-4</v>
      </c>
      <c r="S59" s="71">
        <v>9.7641000000000006E-2</v>
      </c>
      <c r="T59" s="21">
        <v>7.57</v>
      </c>
      <c r="U59" s="21">
        <v>7.7</v>
      </c>
      <c r="V59" s="21">
        <v>0.11768199999999999</v>
      </c>
      <c r="W59" s="21"/>
      <c r="X59" s="25">
        <f t="shared" si="0"/>
        <v>1.4302253086419746E-4</v>
      </c>
      <c r="Y59" s="21"/>
    </row>
    <row r="60" spans="1:26" x14ac:dyDescent="0.25">
      <c r="A60" s="70" t="s">
        <v>490</v>
      </c>
      <c r="B60" t="s">
        <v>475</v>
      </c>
      <c r="C60" s="4" t="s">
        <v>186</v>
      </c>
      <c r="D60" s="4" t="s">
        <v>541</v>
      </c>
      <c r="E60" s="6">
        <v>65</v>
      </c>
      <c r="F60" s="4">
        <v>100</v>
      </c>
      <c r="G60" s="4">
        <v>600</v>
      </c>
      <c r="H60" s="4">
        <v>400</v>
      </c>
      <c r="I60" s="4">
        <v>10</v>
      </c>
      <c r="J60" s="22">
        <v>15</v>
      </c>
      <c r="K60" s="30">
        <v>1.0000000000000001E-5</v>
      </c>
      <c r="L60" s="30">
        <v>4.0000000000000001E-8</v>
      </c>
      <c r="M60" s="51">
        <v>0.9</v>
      </c>
      <c r="N60" s="4">
        <v>48</v>
      </c>
      <c r="O60" s="25">
        <v>4890000</v>
      </c>
      <c r="P60" s="15">
        <v>2.78</v>
      </c>
      <c r="Q60" s="43">
        <v>1E-8</v>
      </c>
      <c r="R60" s="46">
        <v>5.0000000000000001E-4</v>
      </c>
      <c r="S60" s="71">
        <v>5.8831000000000001E-2</v>
      </c>
      <c r="T60" s="21">
        <v>13.17</v>
      </c>
      <c r="U60" s="21">
        <v>15.4</v>
      </c>
      <c r="V60" s="21">
        <v>0.11695800000000001</v>
      </c>
      <c r="W60" s="21"/>
      <c r="X60" s="25">
        <f t="shared" si="0"/>
        <v>2.7357750000000011E-3</v>
      </c>
      <c r="Y60" s="21"/>
    </row>
    <row r="61" spans="1:26" x14ac:dyDescent="0.25">
      <c r="A61" s="70"/>
      <c r="B61" t="s">
        <v>284</v>
      </c>
      <c r="C61" s="4" t="s">
        <v>186</v>
      </c>
      <c r="D61" s="4" t="s">
        <v>476</v>
      </c>
      <c r="E61" s="6">
        <v>65</v>
      </c>
      <c r="F61" s="4">
        <v>100</v>
      </c>
      <c r="G61" s="4">
        <v>600</v>
      </c>
      <c r="H61" s="4">
        <v>400</v>
      </c>
      <c r="I61" s="4">
        <v>10</v>
      </c>
      <c r="J61" s="22">
        <v>15</v>
      </c>
      <c r="K61" s="30">
        <v>1.0000000000000001E-5</v>
      </c>
      <c r="L61" s="30">
        <v>4.0000000000000001E-8</v>
      </c>
      <c r="M61" s="51">
        <v>0.9</v>
      </c>
      <c r="N61" s="4">
        <v>48</v>
      </c>
      <c r="O61" s="25">
        <v>4890000</v>
      </c>
      <c r="P61" s="15">
        <v>2.78</v>
      </c>
      <c r="Q61" s="43">
        <v>1E-8</v>
      </c>
      <c r="R61" s="46">
        <v>5.0000000000000001E-4</v>
      </c>
      <c r="S61" s="72">
        <v>5.8723999999999998E-2</v>
      </c>
      <c r="T61">
        <v>13.32</v>
      </c>
      <c r="U61">
        <v>15.53</v>
      </c>
      <c r="V61">
        <v>0.119246</v>
      </c>
      <c r="X61" s="25">
        <f t="shared" si="0"/>
        <v>2.7357750000000011E-3</v>
      </c>
      <c r="Z61" t="s">
        <v>542</v>
      </c>
    </row>
    <row r="62" spans="1:26" x14ac:dyDescent="0.25">
      <c r="A62" s="70" t="s">
        <v>586</v>
      </c>
      <c r="B62" t="s">
        <v>475</v>
      </c>
      <c r="C62" s="4" t="s">
        <v>186</v>
      </c>
      <c r="D62" s="4" t="s">
        <v>541</v>
      </c>
      <c r="E62" s="6">
        <v>40.5</v>
      </c>
      <c r="F62" s="4">
        <v>100</v>
      </c>
      <c r="G62" s="4">
        <v>600</v>
      </c>
      <c r="H62" s="4">
        <v>400</v>
      </c>
      <c r="I62" s="4">
        <v>30</v>
      </c>
      <c r="J62" s="22">
        <v>15</v>
      </c>
      <c r="K62" s="30">
        <v>1.0000000000000001E-5</v>
      </c>
      <c r="L62" s="30">
        <v>4.0000000000000001E-8</v>
      </c>
      <c r="M62" s="51">
        <v>0.5</v>
      </c>
      <c r="N62" s="4">
        <v>48</v>
      </c>
      <c r="O62" s="25">
        <v>4890000</v>
      </c>
      <c r="P62" s="15">
        <v>2.78</v>
      </c>
      <c r="Q62" s="43">
        <v>1E-8</v>
      </c>
      <c r="R62" s="46">
        <v>1.1999999999999999E-3</v>
      </c>
      <c r="S62" s="71">
        <v>0.1918</v>
      </c>
      <c r="T62">
        <v>4.62</v>
      </c>
      <c r="U62">
        <v>4.6900000000000004</v>
      </c>
      <c r="V62">
        <v>0.15498799999999999</v>
      </c>
      <c r="X62" s="25">
        <f t="shared" si="0"/>
        <v>1.8763888888888886E-5</v>
      </c>
      <c r="Z62" t="s">
        <v>587</v>
      </c>
    </row>
    <row r="63" spans="1:26" x14ac:dyDescent="0.25">
      <c r="A63" s="70" t="s">
        <v>588</v>
      </c>
      <c r="B63" t="s">
        <v>475</v>
      </c>
      <c r="C63" s="4" t="s">
        <v>186</v>
      </c>
      <c r="D63" s="4" t="s">
        <v>541</v>
      </c>
      <c r="E63" s="6">
        <v>40.5</v>
      </c>
      <c r="F63" s="4">
        <v>100</v>
      </c>
      <c r="G63" s="4">
        <v>600</v>
      </c>
      <c r="H63" s="4">
        <v>400</v>
      </c>
      <c r="I63" s="4">
        <v>10</v>
      </c>
      <c r="J63" s="22">
        <v>15</v>
      </c>
      <c r="K63" s="30">
        <v>1.0000000000000001E-5</v>
      </c>
      <c r="L63" s="30">
        <v>4.0000000000000001E-8</v>
      </c>
      <c r="M63" s="51">
        <v>0.5</v>
      </c>
      <c r="N63" s="4">
        <v>48</v>
      </c>
      <c r="O63" s="25">
        <v>4890000</v>
      </c>
      <c r="P63" s="15">
        <v>2.78</v>
      </c>
      <c r="Q63" s="43">
        <v>1E-8</v>
      </c>
      <c r="R63" s="46">
        <v>1.1999999999999999E-3</v>
      </c>
      <c r="S63" s="71">
        <v>0.30880299999999999</v>
      </c>
      <c r="T63">
        <v>7.84</v>
      </c>
      <c r="U63">
        <v>8.07</v>
      </c>
      <c r="V63">
        <v>0.15088299999999999</v>
      </c>
      <c r="X63" s="25">
        <f t="shared" si="0"/>
        <v>1.8763888888888886E-5</v>
      </c>
      <c r="Z63" t="s">
        <v>589</v>
      </c>
    </row>
    <row r="64" spans="1:26" x14ac:dyDescent="0.25">
      <c r="A64" s="80" t="s">
        <v>520</v>
      </c>
      <c r="C64" s="4"/>
      <c r="D64" s="4"/>
      <c r="E64" s="6"/>
      <c r="F64" s="4"/>
      <c r="G64" s="4"/>
      <c r="H64" s="4"/>
      <c r="I64" s="4"/>
      <c r="J64" s="22"/>
      <c r="K64" s="30"/>
      <c r="L64" s="30"/>
      <c r="M64" s="51"/>
      <c r="N64" s="4"/>
      <c r="O64" s="25"/>
      <c r="P64" s="15"/>
      <c r="Q64" s="43"/>
      <c r="R64" s="46"/>
      <c r="S64" s="72"/>
      <c r="X64" s="25"/>
    </row>
    <row r="65" spans="1:26" x14ac:dyDescent="0.25">
      <c r="A65" s="70" t="s">
        <v>521</v>
      </c>
      <c r="B65" s="4" t="s">
        <v>443</v>
      </c>
      <c r="C65" s="4" t="s">
        <v>186</v>
      </c>
      <c r="D65" s="4" t="s">
        <v>433</v>
      </c>
      <c r="E65" s="6">
        <v>65</v>
      </c>
      <c r="F65" s="4">
        <v>100</v>
      </c>
      <c r="G65" s="4">
        <v>600</v>
      </c>
      <c r="H65" s="4">
        <v>400</v>
      </c>
      <c r="I65" s="4">
        <v>10</v>
      </c>
      <c r="J65" s="22">
        <v>15</v>
      </c>
      <c r="K65" s="30">
        <v>1.0000000000000001E-5</v>
      </c>
      <c r="L65" s="30">
        <v>4.0000000000000001E-8</v>
      </c>
      <c r="M65" s="51">
        <v>0.1</v>
      </c>
      <c r="N65" s="4">
        <v>70</v>
      </c>
      <c r="O65" s="25">
        <v>4890000</v>
      </c>
      <c r="P65" s="15">
        <v>2.78</v>
      </c>
      <c r="Q65" s="43">
        <v>1E-8</v>
      </c>
      <c r="R65" s="46">
        <v>2E-3</v>
      </c>
      <c r="S65" s="71">
        <v>0.91620000000000001</v>
      </c>
      <c r="T65">
        <v>1.36</v>
      </c>
      <c r="U65">
        <v>1.39</v>
      </c>
      <c r="V65">
        <v>0.150334</v>
      </c>
      <c r="X65" s="25">
        <f t="shared" si="0"/>
        <v>4.6330589849108381E-8</v>
      </c>
    </row>
    <row r="66" spans="1:26" x14ac:dyDescent="0.25">
      <c r="A66" s="70" t="s">
        <v>522</v>
      </c>
      <c r="B66" s="4" t="s">
        <v>443</v>
      </c>
      <c r="C66" s="4" t="s">
        <v>186</v>
      </c>
      <c r="D66" s="4" t="s">
        <v>433</v>
      </c>
      <c r="E66" s="6">
        <v>65</v>
      </c>
      <c r="F66" s="4">
        <v>100</v>
      </c>
      <c r="G66" s="4">
        <v>600</v>
      </c>
      <c r="H66" s="4">
        <v>400</v>
      </c>
      <c r="I66" s="4">
        <v>10</v>
      </c>
      <c r="J66" s="22">
        <v>15</v>
      </c>
      <c r="K66" s="30">
        <v>1.0000000000000001E-5</v>
      </c>
      <c r="L66" s="30">
        <v>4.0000000000000001E-8</v>
      </c>
      <c r="M66" s="51">
        <v>0.3</v>
      </c>
      <c r="N66" s="4">
        <v>70</v>
      </c>
      <c r="O66" s="25">
        <v>4890000</v>
      </c>
      <c r="P66" s="15">
        <v>2.78</v>
      </c>
      <c r="Q66" s="43">
        <v>1E-8</v>
      </c>
      <c r="R66" s="46">
        <v>4.0000000000000001E-3</v>
      </c>
      <c r="S66" s="71">
        <v>0.64676999999999996</v>
      </c>
      <c r="T66">
        <v>1.79</v>
      </c>
      <c r="U66">
        <v>1.83</v>
      </c>
      <c r="V66">
        <v>0.161083</v>
      </c>
      <c r="X66" s="25">
        <f t="shared" si="0"/>
        <v>2.0678571428571426E-6</v>
      </c>
    </row>
    <row r="67" spans="1:26" x14ac:dyDescent="0.25">
      <c r="A67" s="70" t="s">
        <v>523</v>
      </c>
      <c r="B67" s="4" t="s">
        <v>443</v>
      </c>
      <c r="C67" s="4" t="s">
        <v>186</v>
      </c>
      <c r="D67" s="4" t="s">
        <v>433</v>
      </c>
      <c r="E67" s="6">
        <v>65</v>
      </c>
      <c r="F67" s="4">
        <v>100</v>
      </c>
      <c r="G67" s="4">
        <v>600</v>
      </c>
      <c r="H67" s="4">
        <v>400</v>
      </c>
      <c r="I67" s="4">
        <v>10</v>
      </c>
      <c r="J67" s="22">
        <v>15</v>
      </c>
      <c r="K67" s="30">
        <v>1.0000000000000001E-5</v>
      </c>
      <c r="L67" s="30">
        <v>4.0000000000000001E-8</v>
      </c>
      <c r="M67" s="51">
        <v>0.5</v>
      </c>
      <c r="N67" s="4">
        <v>70</v>
      </c>
      <c r="O67" s="25">
        <v>4890000</v>
      </c>
      <c r="P67" s="15">
        <v>2.78</v>
      </c>
      <c r="Q67" s="43">
        <v>1E-8</v>
      </c>
      <c r="R67" s="46">
        <v>3.0000000000000001E-3</v>
      </c>
      <c r="S67" s="71">
        <v>0.53386</v>
      </c>
      <c r="T67">
        <v>2.4500000000000002</v>
      </c>
      <c r="U67">
        <v>2.59</v>
      </c>
      <c r="V67">
        <v>0.160416</v>
      </c>
      <c r="X67" s="25">
        <f t="shared" si="0"/>
        <v>1.8763888888888886E-5</v>
      </c>
    </row>
    <row r="68" spans="1:26" x14ac:dyDescent="0.25">
      <c r="A68" s="70" t="s">
        <v>524</v>
      </c>
      <c r="B68" s="4" t="s">
        <v>443</v>
      </c>
      <c r="C68" s="4" t="s">
        <v>186</v>
      </c>
      <c r="D68" s="4" t="s">
        <v>433</v>
      </c>
      <c r="E68" s="6">
        <v>65</v>
      </c>
      <c r="F68" s="4">
        <v>100</v>
      </c>
      <c r="G68" s="4">
        <v>600</v>
      </c>
      <c r="H68" s="4">
        <v>400</v>
      </c>
      <c r="I68" s="4">
        <v>10</v>
      </c>
      <c r="J68" s="22">
        <v>15</v>
      </c>
      <c r="K68" s="30">
        <v>1.0000000000000001E-5</v>
      </c>
      <c r="L68" s="30">
        <v>4.0000000000000001E-8</v>
      </c>
      <c r="M68" s="51">
        <v>0.7</v>
      </c>
      <c r="N68" s="4">
        <v>70</v>
      </c>
      <c r="O68" s="25">
        <v>4890000</v>
      </c>
      <c r="P68" s="15">
        <v>2.78</v>
      </c>
      <c r="Q68" s="43">
        <v>1E-8</v>
      </c>
      <c r="R68" s="46">
        <v>2E-3</v>
      </c>
      <c r="S68" s="71">
        <v>0.46990799999999999</v>
      </c>
      <c r="T68">
        <v>3.28</v>
      </c>
      <c r="U68">
        <v>3.74</v>
      </c>
      <c r="V68">
        <v>0.15831100000000001</v>
      </c>
      <c r="X68" s="25">
        <f t="shared" si="0"/>
        <v>1.4302253086419746E-4</v>
      </c>
    </row>
    <row r="69" spans="1:26" x14ac:dyDescent="0.25">
      <c r="A69" s="70" t="s">
        <v>577</v>
      </c>
      <c r="B69" s="4" t="s">
        <v>443</v>
      </c>
      <c r="C69" s="4" t="s">
        <v>186</v>
      </c>
      <c r="D69" s="4" t="s">
        <v>433</v>
      </c>
      <c r="E69" s="6">
        <v>65</v>
      </c>
      <c r="F69" s="4">
        <v>100</v>
      </c>
      <c r="G69" s="4">
        <v>600</v>
      </c>
      <c r="H69" s="4">
        <v>400</v>
      </c>
      <c r="I69" s="4">
        <v>10</v>
      </c>
      <c r="J69" s="22">
        <v>15</v>
      </c>
      <c r="K69" s="30">
        <v>1.0000000000000001E-5</v>
      </c>
      <c r="L69" s="30">
        <v>4.0000000000000001E-8</v>
      </c>
      <c r="M69" s="51">
        <v>0.75</v>
      </c>
      <c r="N69" s="4">
        <v>70</v>
      </c>
      <c r="O69" s="25">
        <v>4890000</v>
      </c>
      <c r="P69" s="15">
        <v>2.78</v>
      </c>
      <c r="Q69" s="43">
        <v>1E-8</v>
      </c>
      <c r="R69" s="46">
        <v>2E-3</v>
      </c>
      <c r="S69" s="71">
        <v>0.58612600000000004</v>
      </c>
      <c r="T69">
        <v>3.95</v>
      </c>
      <c r="U69">
        <v>4.45</v>
      </c>
      <c r="V69">
        <v>0.16464200000000001</v>
      </c>
      <c r="X69" s="25">
        <f t="shared" si="0"/>
        <v>2.5331250000000001E-4</v>
      </c>
      <c r="Z69" t="s">
        <v>555</v>
      </c>
    </row>
    <row r="70" spans="1:26" x14ac:dyDescent="0.25">
      <c r="A70" s="70" t="s">
        <v>578</v>
      </c>
      <c r="B70" s="4" t="s">
        <v>443</v>
      </c>
      <c r="C70" s="4" t="s">
        <v>186</v>
      </c>
      <c r="D70" s="4" t="s">
        <v>433</v>
      </c>
      <c r="E70" s="6">
        <v>65</v>
      </c>
      <c r="F70" s="4">
        <v>100</v>
      </c>
      <c r="G70" s="4">
        <v>600</v>
      </c>
      <c r="H70" s="4">
        <v>400</v>
      </c>
      <c r="I70" s="4">
        <v>40</v>
      </c>
      <c r="J70" s="22">
        <v>15</v>
      </c>
      <c r="K70" s="30">
        <v>1.0000000000000001E-5</v>
      </c>
      <c r="L70" s="30">
        <v>4.0000000000000001E-8</v>
      </c>
      <c r="M70" s="51">
        <v>0.8</v>
      </c>
      <c r="N70" s="4">
        <v>70</v>
      </c>
      <c r="O70" s="25">
        <v>4890000</v>
      </c>
      <c r="P70" s="15">
        <v>2.78</v>
      </c>
      <c r="Q70" s="43">
        <v>1E-8</v>
      </c>
      <c r="R70" s="46">
        <v>2E-3</v>
      </c>
      <c r="S70" s="71">
        <v>0.88736400000000004</v>
      </c>
      <c r="T70">
        <v>4.24</v>
      </c>
      <c r="U70">
        <v>4.68</v>
      </c>
      <c r="V70">
        <v>0.150892</v>
      </c>
      <c r="X70" s="25">
        <f t="shared" ref="X70:X104" si="1">M70^3/(1-M70)^2/72*L70^2/K70*101325/0.006</f>
        <v>4.803555555555559E-4</v>
      </c>
      <c r="Z70" t="s">
        <v>581</v>
      </c>
    </row>
    <row r="71" spans="1:26" x14ac:dyDescent="0.25">
      <c r="A71" s="70" t="s">
        <v>580</v>
      </c>
      <c r="B71" s="4" t="s">
        <v>443</v>
      </c>
      <c r="C71" s="4" t="s">
        <v>186</v>
      </c>
      <c r="D71" s="4" t="s">
        <v>433</v>
      </c>
      <c r="E71" s="6">
        <v>65</v>
      </c>
      <c r="F71" s="4">
        <v>100</v>
      </c>
      <c r="G71" s="4">
        <v>600</v>
      </c>
      <c r="H71" s="4">
        <v>400</v>
      </c>
      <c r="I71" s="4">
        <v>40</v>
      </c>
      <c r="J71" s="22">
        <v>15</v>
      </c>
      <c r="K71" s="30">
        <v>1.0000000000000001E-5</v>
      </c>
      <c r="L71" s="30">
        <v>4.0000000000000001E-8</v>
      </c>
      <c r="M71" s="51">
        <v>0.85</v>
      </c>
      <c r="N71" s="4">
        <v>70</v>
      </c>
      <c r="O71" s="25">
        <v>4890000</v>
      </c>
      <c r="P71" s="15">
        <v>2.78</v>
      </c>
      <c r="Q71" s="43">
        <v>1E-8</v>
      </c>
      <c r="R71" s="46">
        <v>2E-3</v>
      </c>
      <c r="S71" s="92">
        <v>0</v>
      </c>
      <c r="T71">
        <v>0</v>
      </c>
      <c r="U71">
        <v>0</v>
      </c>
      <c r="V71">
        <v>0.119017</v>
      </c>
      <c r="X71" s="25">
        <f t="shared" si="1"/>
        <v>1.0242998456790121E-3</v>
      </c>
      <c r="Z71" t="s">
        <v>620</v>
      </c>
    </row>
    <row r="72" spans="1:26" x14ac:dyDescent="0.25">
      <c r="A72" s="70" t="s">
        <v>525</v>
      </c>
      <c r="B72" s="4" t="s">
        <v>443</v>
      </c>
      <c r="C72" s="4" t="s">
        <v>186</v>
      </c>
      <c r="D72" s="4" t="s">
        <v>433</v>
      </c>
      <c r="E72" s="6">
        <v>65</v>
      </c>
      <c r="F72" s="4">
        <v>100</v>
      </c>
      <c r="G72" s="4">
        <v>600</v>
      </c>
      <c r="H72" s="4">
        <v>400</v>
      </c>
      <c r="I72" s="4">
        <v>30</v>
      </c>
      <c r="J72" s="22">
        <v>15</v>
      </c>
      <c r="K72" s="30">
        <v>1.0000000000000001E-5</v>
      </c>
      <c r="L72" s="30">
        <v>4.0000000000000001E-8</v>
      </c>
      <c r="M72" s="51">
        <v>0.9</v>
      </c>
      <c r="N72" s="4">
        <v>70</v>
      </c>
      <c r="O72" s="25">
        <v>4890000</v>
      </c>
      <c r="P72" s="15">
        <v>2.78</v>
      </c>
      <c r="Q72" s="43">
        <v>1E-8</v>
      </c>
      <c r="R72" s="46">
        <v>1.1999999999999999E-3</v>
      </c>
      <c r="S72" s="71"/>
      <c r="T72" s="21"/>
      <c r="U72" s="21"/>
      <c r="V72" s="21"/>
      <c r="W72" s="21"/>
      <c r="X72" s="25">
        <f t="shared" si="1"/>
        <v>2.7357750000000011E-3</v>
      </c>
      <c r="Y72" s="21"/>
      <c r="Z72" t="s">
        <v>579</v>
      </c>
    </row>
    <row r="73" spans="1:26" x14ac:dyDescent="0.25">
      <c r="A73" s="70" t="s">
        <v>596</v>
      </c>
      <c r="B73" s="4" t="s">
        <v>443</v>
      </c>
      <c r="C73" s="4" t="s">
        <v>186</v>
      </c>
      <c r="D73" s="4" t="s">
        <v>433</v>
      </c>
      <c r="E73" s="6">
        <v>65</v>
      </c>
      <c r="F73" s="4">
        <v>100</v>
      </c>
      <c r="G73" s="4">
        <v>600</v>
      </c>
      <c r="H73" s="4">
        <v>400</v>
      </c>
      <c r="I73" s="4">
        <v>10</v>
      </c>
      <c r="J73" s="22">
        <v>15</v>
      </c>
      <c r="K73" s="30">
        <v>1.0000000000000001E-5</v>
      </c>
      <c r="L73" s="30">
        <v>4.0000000000000001E-8</v>
      </c>
      <c r="M73" s="51">
        <v>0.1</v>
      </c>
      <c r="N73" s="4">
        <v>80</v>
      </c>
      <c r="O73" s="25">
        <v>4890000</v>
      </c>
      <c r="P73" s="15">
        <v>2.78</v>
      </c>
      <c r="Q73" s="43">
        <v>1E-8</v>
      </c>
      <c r="R73" s="46">
        <v>2E-3</v>
      </c>
      <c r="S73" s="71">
        <v>1.3071299999999999</v>
      </c>
      <c r="T73" s="21">
        <v>0.97</v>
      </c>
      <c r="U73" s="21">
        <v>1.03</v>
      </c>
      <c r="V73" s="21">
        <v>0.152673</v>
      </c>
      <c r="W73" s="21"/>
      <c r="X73" s="25">
        <f t="shared" si="1"/>
        <v>4.6330589849108381E-8</v>
      </c>
      <c r="Y73" s="21"/>
      <c r="Z73" t="s">
        <v>613</v>
      </c>
    </row>
    <row r="74" spans="1:26" x14ac:dyDescent="0.25">
      <c r="A74" s="70" t="s">
        <v>597</v>
      </c>
      <c r="B74" s="4" t="s">
        <v>443</v>
      </c>
      <c r="C74" s="4" t="s">
        <v>186</v>
      </c>
      <c r="D74" s="4" t="s">
        <v>433</v>
      </c>
      <c r="E74" s="6">
        <v>65</v>
      </c>
      <c r="F74" s="4">
        <v>100</v>
      </c>
      <c r="G74" s="4">
        <v>600</v>
      </c>
      <c r="H74" s="4">
        <v>400</v>
      </c>
      <c r="I74" s="4">
        <v>10</v>
      </c>
      <c r="J74" s="22">
        <v>15</v>
      </c>
      <c r="K74" s="30">
        <v>1.0000000000000001E-5</v>
      </c>
      <c r="L74" s="30">
        <v>4.0000000000000001E-8</v>
      </c>
      <c r="M74" s="51">
        <v>0.3</v>
      </c>
      <c r="N74" s="4">
        <v>80</v>
      </c>
      <c r="O74" s="25">
        <v>4890000</v>
      </c>
      <c r="P74" s="15">
        <v>2.78</v>
      </c>
      <c r="Q74" s="43">
        <v>1E-8</v>
      </c>
      <c r="R74" s="46">
        <v>4.0000000000000001E-3</v>
      </c>
      <c r="S74" s="71">
        <v>1.2837099999999999</v>
      </c>
      <c r="T74">
        <v>1.28</v>
      </c>
      <c r="U74">
        <v>1.36</v>
      </c>
      <c r="V74">
        <v>0.148225</v>
      </c>
      <c r="X74" s="25">
        <f t="shared" si="1"/>
        <v>2.0678571428571426E-6</v>
      </c>
      <c r="Z74" t="s">
        <v>613</v>
      </c>
    </row>
    <row r="75" spans="1:26" x14ac:dyDescent="0.25">
      <c r="A75" s="70" t="s">
        <v>598</v>
      </c>
      <c r="B75" s="4" t="s">
        <v>443</v>
      </c>
      <c r="C75" s="4" t="s">
        <v>186</v>
      </c>
      <c r="D75" s="4" t="s">
        <v>433</v>
      </c>
      <c r="E75" s="6">
        <v>65</v>
      </c>
      <c r="F75" s="4">
        <v>100</v>
      </c>
      <c r="G75" s="4">
        <v>600</v>
      </c>
      <c r="H75" s="4">
        <v>400</v>
      </c>
      <c r="I75" s="4">
        <v>30</v>
      </c>
      <c r="J75" s="22">
        <v>15</v>
      </c>
      <c r="K75" s="30">
        <v>1.0000000000000001E-5</v>
      </c>
      <c r="L75" s="30">
        <v>4.0000000000000001E-8</v>
      </c>
      <c r="M75" s="51">
        <v>0.5</v>
      </c>
      <c r="N75" s="4">
        <v>80</v>
      </c>
      <c r="O75" s="25">
        <v>4890000</v>
      </c>
      <c r="P75" s="15">
        <v>2.78</v>
      </c>
      <c r="Q75" s="43">
        <v>1E-8</v>
      </c>
      <c r="R75" s="46">
        <v>3.5999999999999999E-3</v>
      </c>
      <c r="S75" s="71">
        <v>1.43377</v>
      </c>
      <c r="T75">
        <v>2.65</v>
      </c>
      <c r="U75">
        <v>3.64</v>
      </c>
      <c r="V75">
        <v>0.161885</v>
      </c>
      <c r="X75" s="25">
        <f t="shared" si="1"/>
        <v>1.8763888888888886E-5</v>
      </c>
      <c r="Z75" t="s">
        <v>618</v>
      </c>
    </row>
    <row r="76" spans="1:26" x14ac:dyDescent="0.25">
      <c r="A76" s="70" t="s">
        <v>617</v>
      </c>
      <c r="B76" s="4" t="s">
        <v>443</v>
      </c>
      <c r="C76" s="4" t="s">
        <v>186</v>
      </c>
      <c r="D76" s="4" t="s">
        <v>433</v>
      </c>
      <c r="E76" s="6">
        <v>65</v>
      </c>
      <c r="F76" s="4">
        <v>100</v>
      </c>
      <c r="G76" s="4">
        <v>600</v>
      </c>
      <c r="H76" s="4">
        <v>400</v>
      </c>
      <c r="I76" s="4">
        <v>30</v>
      </c>
      <c r="J76" s="22">
        <v>15</v>
      </c>
      <c r="K76" s="30">
        <v>1.0000000000000001E-5</v>
      </c>
      <c r="L76" s="30">
        <v>4.0000000000000001E-8</v>
      </c>
      <c r="M76" s="51">
        <v>0.6</v>
      </c>
      <c r="N76" s="4">
        <v>80</v>
      </c>
      <c r="O76" s="25">
        <v>4890000</v>
      </c>
      <c r="P76" s="15">
        <v>2.78</v>
      </c>
      <c r="Q76" s="43">
        <v>1E-8</v>
      </c>
      <c r="R76" s="46">
        <v>3.5999999999999999E-3</v>
      </c>
      <c r="S76" s="92">
        <v>0</v>
      </c>
      <c r="T76">
        <v>0</v>
      </c>
      <c r="U76">
        <v>0</v>
      </c>
      <c r="V76">
        <v>0.12083000000000001</v>
      </c>
      <c r="X76" s="25">
        <f t="shared" si="1"/>
        <v>5.0662499999999985E-5</v>
      </c>
      <c r="Z76" t="s">
        <v>621</v>
      </c>
    </row>
    <row r="77" spans="1:26" x14ac:dyDescent="0.25">
      <c r="A77" s="70" t="s">
        <v>599</v>
      </c>
      <c r="B77" s="4" t="s">
        <v>443</v>
      </c>
      <c r="C77" s="4" t="s">
        <v>186</v>
      </c>
      <c r="D77" s="4" t="s">
        <v>433</v>
      </c>
      <c r="E77" s="6">
        <v>65</v>
      </c>
      <c r="F77" s="4">
        <v>100</v>
      </c>
      <c r="G77" s="4">
        <v>600</v>
      </c>
      <c r="H77" s="4">
        <v>400</v>
      </c>
      <c r="I77" s="4">
        <v>30</v>
      </c>
      <c r="J77" s="22">
        <v>15</v>
      </c>
      <c r="K77" s="30">
        <v>1.0000000000000001E-5</v>
      </c>
      <c r="L77" s="30">
        <v>4.0000000000000001E-8</v>
      </c>
      <c r="M77" s="51">
        <v>0.7</v>
      </c>
      <c r="N77" s="4">
        <v>80</v>
      </c>
      <c r="O77" s="25">
        <v>4890000</v>
      </c>
      <c r="P77" s="15">
        <v>2.78</v>
      </c>
      <c r="Q77" s="43">
        <v>1E-8</v>
      </c>
      <c r="R77" s="46">
        <v>2E-3</v>
      </c>
      <c r="S77" s="71"/>
      <c r="X77" s="25">
        <f t="shared" si="1"/>
        <v>1.4302253086419746E-4</v>
      </c>
      <c r="Z77" t="s">
        <v>615</v>
      </c>
    </row>
    <row r="78" spans="1:26" x14ac:dyDescent="0.25">
      <c r="A78" s="70" t="s">
        <v>600</v>
      </c>
      <c r="B78" s="4" t="s">
        <v>443</v>
      </c>
      <c r="C78" s="4" t="s">
        <v>186</v>
      </c>
      <c r="D78" s="4" t="s">
        <v>433</v>
      </c>
      <c r="E78" s="6">
        <v>65</v>
      </c>
      <c r="F78" s="4">
        <v>100</v>
      </c>
      <c r="G78" s="4">
        <v>600</v>
      </c>
      <c r="H78" s="4">
        <v>400</v>
      </c>
      <c r="I78" s="4">
        <v>30</v>
      </c>
      <c r="J78" s="22">
        <v>15</v>
      </c>
      <c r="K78" s="30">
        <v>1.0000000000000001E-5</v>
      </c>
      <c r="L78" s="30">
        <v>4.0000000000000001E-8</v>
      </c>
      <c r="M78" s="51">
        <v>0.9</v>
      </c>
      <c r="N78" s="4">
        <v>80</v>
      </c>
      <c r="O78" s="25">
        <v>4890000</v>
      </c>
      <c r="P78" s="15">
        <v>2.78</v>
      </c>
      <c r="Q78" s="43">
        <v>1E-8</v>
      </c>
      <c r="R78" s="46">
        <v>1.1999999999999999E-3</v>
      </c>
      <c r="S78" s="72"/>
      <c r="X78" s="25">
        <f t="shared" si="1"/>
        <v>2.7357750000000011E-3</v>
      </c>
    </row>
    <row r="79" spans="1:26" x14ac:dyDescent="0.25">
      <c r="A79" s="70"/>
      <c r="B79" s="4" t="s">
        <v>443</v>
      </c>
      <c r="C79" s="4" t="s">
        <v>186</v>
      </c>
      <c r="D79" s="4" t="s">
        <v>433</v>
      </c>
      <c r="E79" s="6">
        <v>65</v>
      </c>
      <c r="F79" s="4">
        <v>100</v>
      </c>
      <c r="G79" s="4">
        <v>600</v>
      </c>
      <c r="H79" s="4">
        <v>400</v>
      </c>
      <c r="I79" s="4">
        <v>10</v>
      </c>
      <c r="J79" s="22">
        <v>15</v>
      </c>
      <c r="K79" s="30">
        <v>1.0000000000000001E-5</v>
      </c>
      <c r="L79" s="30">
        <v>4.0000000000000001E-8</v>
      </c>
      <c r="M79" s="51">
        <v>0.1</v>
      </c>
      <c r="N79" s="4">
        <v>100</v>
      </c>
      <c r="O79" s="25">
        <v>4890000</v>
      </c>
      <c r="P79" s="15">
        <v>2.78</v>
      </c>
      <c r="Q79" s="43">
        <v>1E-8</v>
      </c>
      <c r="R79" s="46">
        <v>6.0000000000000001E-3</v>
      </c>
      <c r="S79" s="72"/>
      <c r="X79" s="25">
        <f t="shared" si="1"/>
        <v>4.6330589849108381E-8</v>
      </c>
      <c r="Z79" t="s">
        <v>601</v>
      </c>
    </row>
    <row r="80" spans="1:26" x14ac:dyDescent="0.25">
      <c r="A80" s="80" t="s">
        <v>526</v>
      </c>
      <c r="C80" s="4"/>
      <c r="D80" s="4"/>
      <c r="E80" s="6"/>
      <c r="F80" s="4"/>
      <c r="G80" s="4"/>
      <c r="H80" s="4"/>
      <c r="I80" s="4"/>
      <c r="J80" s="22"/>
      <c r="K80" s="30"/>
      <c r="L80" s="30"/>
      <c r="M80" s="51"/>
      <c r="N80" s="4"/>
      <c r="O80" s="25"/>
      <c r="P80" s="15"/>
      <c r="Q80" s="43"/>
      <c r="R80" s="46"/>
      <c r="S80" s="72"/>
      <c r="X80" s="25"/>
    </row>
    <row r="81" spans="1:26" x14ac:dyDescent="0.25">
      <c r="A81" s="70" t="s">
        <v>527</v>
      </c>
      <c r="B81" s="4" t="s">
        <v>443</v>
      </c>
      <c r="C81" s="4" t="s">
        <v>186</v>
      </c>
      <c r="D81" s="4" t="s">
        <v>433</v>
      </c>
      <c r="E81" s="6">
        <v>65</v>
      </c>
      <c r="F81" s="4">
        <v>100</v>
      </c>
      <c r="G81" s="4">
        <v>600</v>
      </c>
      <c r="H81" s="4">
        <v>400</v>
      </c>
      <c r="I81" s="4">
        <v>10</v>
      </c>
      <c r="J81" s="22">
        <v>15</v>
      </c>
      <c r="K81" s="30">
        <v>1E-4</v>
      </c>
      <c r="L81" s="30">
        <v>4.0000000000000001E-8</v>
      </c>
      <c r="M81" s="51">
        <v>0.1</v>
      </c>
      <c r="N81" s="4">
        <v>48</v>
      </c>
      <c r="O81" s="25">
        <v>4890000</v>
      </c>
      <c r="P81" s="15">
        <v>2.78</v>
      </c>
      <c r="Q81" s="43">
        <v>1E-8</v>
      </c>
      <c r="R81" s="46">
        <v>2E-3</v>
      </c>
      <c r="S81" s="71">
        <v>0.18476000000000001</v>
      </c>
      <c r="T81" s="21">
        <v>2.65</v>
      </c>
      <c r="U81" s="21">
        <v>2.79</v>
      </c>
      <c r="V81" s="21">
        <v>0.168521</v>
      </c>
      <c r="W81" s="21"/>
      <c r="X81" s="25">
        <f>M81^3/(1-M81)^2/72*L81^2/K81*101325/0.006</f>
        <v>4.6330589849108391E-9</v>
      </c>
      <c r="Y81" s="21"/>
      <c r="Z81" t="s">
        <v>543</v>
      </c>
    </row>
    <row r="82" spans="1:26" x14ac:dyDescent="0.25">
      <c r="A82" s="70" t="s">
        <v>528</v>
      </c>
      <c r="B82" s="4" t="s">
        <v>443</v>
      </c>
      <c r="C82" s="4" t="s">
        <v>186</v>
      </c>
      <c r="D82" s="4" t="s">
        <v>433</v>
      </c>
      <c r="E82" s="6">
        <v>65</v>
      </c>
      <c r="F82" s="4">
        <v>100</v>
      </c>
      <c r="G82" s="4">
        <v>600</v>
      </c>
      <c r="H82" s="4">
        <v>400</v>
      </c>
      <c r="I82" s="4">
        <v>10</v>
      </c>
      <c r="J82" s="22">
        <v>15</v>
      </c>
      <c r="K82" s="30">
        <v>1E-4</v>
      </c>
      <c r="L82" s="30">
        <v>4.0000000000000001E-8</v>
      </c>
      <c r="M82" s="51">
        <v>0.3</v>
      </c>
      <c r="N82" s="4">
        <v>48</v>
      </c>
      <c r="O82" s="25">
        <v>4890000</v>
      </c>
      <c r="P82" s="15">
        <v>2.78</v>
      </c>
      <c r="Q82" s="43">
        <v>1E-8</v>
      </c>
      <c r="R82" s="46">
        <v>1.8E-3</v>
      </c>
      <c r="S82" s="71">
        <v>0.20646999999999999</v>
      </c>
      <c r="T82" s="21">
        <v>3.15</v>
      </c>
      <c r="U82" s="21">
        <v>3.22</v>
      </c>
      <c r="V82" s="21">
        <v>0.15910299999999999</v>
      </c>
      <c r="W82" s="21"/>
      <c r="X82" s="25">
        <f t="shared" si="1"/>
        <v>2.067857142857143E-7</v>
      </c>
      <c r="Y82" s="21"/>
    </row>
    <row r="83" spans="1:26" x14ac:dyDescent="0.25">
      <c r="A83" s="70" t="s">
        <v>529</v>
      </c>
      <c r="B83" s="4" t="s">
        <v>443</v>
      </c>
      <c r="C83" s="4" t="s">
        <v>186</v>
      </c>
      <c r="D83" s="4" t="s">
        <v>433</v>
      </c>
      <c r="E83" s="6">
        <v>65</v>
      </c>
      <c r="F83" s="4">
        <v>100</v>
      </c>
      <c r="G83" s="4">
        <v>600</v>
      </c>
      <c r="H83" s="4">
        <v>400</v>
      </c>
      <c r="I83" s="4">
        <v>10</v>
      </c>
      <c r="J83" s="22">
        <v>15</v>
      </c>
      <c r="K83" s="30">
        <v>1E-4</v>
      </c>
      <c r="L83" s="30">
        <v>4.0000000000000001E-8</v>
      </c>
      <c r="M83" s="51">
        <v>0.5</v>
      </c>
      <c r="N83" s="4">
        <v>48</v>
      </c>
      <c r="O83" s="25">
        <v>4890000</v>
      </c>
      <c r="P83" s="15">
        <v>2.78</v>
      </c>
      <c r="Q83" s="43">
        <v>1E-8</v>
      </c>
      <c r="R83" s="46">
        <v>1.5E-3</v>
      </c>
      <c r="S83" s="71">
        <v>0.18787999999999999</v>
      </c>
      <c r="T83" s="21">
        <v>4</v>
      </c>
      <c r="U83" s="21">
        <v>4.05</v>
      </c>
      <c r="V83" s="21">
        <v>0.17799200000000001</v>
      </c>
      <c r="W83" s="21"/>
      <c r="X83" s="25">
        <f t="shared" si="1"/>
        <v>1.8763888888888887E-6</v>
      </c>
      <c r="Y83" s="21"/>
    </row>
    <row r="84" spans="1:26" x14ac:dyDescent="0.25">
      <c r="A84" s="70" t="s">
        <v>530</v>
      </c>
      <c r="B84" s="4" t="s">
        <v>443</v>
      </c>
      <c r="C84" s="4" t="s">
        <v>186</v>
      </c>
      <c r="D84" s="4" t="s">
        <v>433</v>
      </c>
      <c r="E84" s="6">
        <v>65</v>
      </c>
      <c r="F84" s="4">
        <v>100</v>
      </c>
      <c r="G84" s="4">
        <v>600</v>
      </c>
      <c r="H84" s="4">
        <v>400</v>
      </c>
      <c r="I84" s="4">
        <v>10</v>
      </c>
      <c r="J84" s="22">
        <v>15</v>
      </c>
      <c r="K84" s="30">
        <v>1E-4</v>
      </c>
      <c r="L84" s="30">
        <v>4.0000000000000001E-8</v>
      </c>
      <c r="M84" s="51">
        <v>0.7</v>
      </c>
      <c r="N84" s="4">
        <v>48</v>
      </c>
      <c r="O84" s="25">
        <v>4890000</v>
      </c>
      <c r="P84" s="15">
        <v>2.78</v>
      </c>
      <c r="Q84" s="43">
        <v>1E-8</v>
      </c>
      <c r="R84" s="46">
        <v>1.1999999999999999E-3</v>
      </c>
      <c r="S84" s="71">
        <v>0.13026399999999999</v>
      </c>
      <c r="T84" s="21">
        <v>5.43</v>
      </c>
      <c r="U84" s="21">
        <v>5.5</v>
      </c>
      <c r="V84" s="21">
        <v>0.191383</v>
      </c>
      <c r="W84" s="21"/>
      <c r="X84" s="25">
        <f t="shared" si="1"/>
        <v>1.4302253086419746E-5</v>
      </c>
      <c r="Y84" s="21"/>
    </row>
    <row r="85" spans="1:26" x14ac:dyDescent="0.25">
      <c r="A85" s="70" t="s">
        <v>531</v>
      </c>
      <c r="B85" s="4" t="s">
        <v>443</v>
      </c>
      <c r="C85" s="4" t="s">
        <v>186</v>
      </c>
      <c r="D85" s="4" t="s">
        <v>433</v>
      </c>
      <c r="E85" s="6">
        <v>65</v>
      </c>
      <c r="F85" s="4">
        <v>100</v>
      </c>
      <c r="G85" s="4">
        <v>600</v>
      </c>
      <c r="H85" s="4">
        <v>400</v>
      </c>
      <c r="I85" s="4">
        <v>10</v>
      </c>
      <c r="J85" s="22">
        <v>15</v>
      </c>
      <c r="K85" s="30">
        <v>1E-4</v>
      </c>
      <c r="L85" s="30">
        <v>4.0000000000000001E-8</v>
      </c>
      <c r="M85" s="51">
        <v>0.9</v>
      </c>
      <c r="N85" s="4">
        <v>48</v>
      </c>
      <c r="O85" s="25">
        <v>4890000</v>
      </c>
      <c r="P85" s="15">
        <v>2.78</v>
      </c>
      <c r="Q85" s="43">
        <v>1E-8</v>
      </c>
      <c r="R85" s="46">
        <v>5.9999999999999995E-4</v>
      </c>
      <c r="S85" s="71">
        <v>6.2459000000000001E-2</v>
      </c>
      <c r="T85" s="21">
        <v>9.69</v>
      </c>
      <c r="U85" s="21">
        <v>10</v>
      </c>
      <c r="V85" s="21">
        <v>0.16633800000000001</v>
      </c>
      <c r="W85" s="21"/>
      <c r="X85" s="25">
        <f t="shared" si="1"/>
        <v>2.7357750000000017E-4</v>
      </c>
      <c r="Y85" s="21"/>
    </row>
    <row r="86" spans="1:26" x14ac:dyDescent="0.25">
      <c r="A86" s="70" t="s">
        <v>532</v>
      </c>
      <c r="B86" s="4" t="s">
        <v>443</v>
      </c>
      <c r="C86" s="4" t="s">
        <v>186</v>
      </c>
      <c r="D86" s="4" t="s">
        <v>433</v>
      </c>
      <c r="E86" s="6">
        <v>65</v>
      </c>
      <c r="F86" s="4">
        <v>100</v>
      </c>
      <c r="G86" s="4">
        <v>600</v>
      </c>
      <c r="H86" s="4">
        <v>400</v>
      </c>
      <c r="I86" s="4">
        <v>10</v>
      </c>
      <c r="J86" s="22">
        <v>15</v>
      </c>
      <c r="K86" s="30">
        <v>1E-3</v>
      </c>
      <c r="L86" s="30">
        <v>4.0000000000000001E-8</v>
      </c>
      <c r="M86" s="51">
        <v>0.1</v>
      </c>
      <c r="N86" s="4">
        <v>48</v>
      </c>
      <c r="O86" s="25">
        <v>4890000</v>
      </c>
      <c r="P86" s="15">
        <v>2.78</v>
      </c>
      <c r="Q86" s="43">
        <v>1E-8</v>
      </c>
      <c r="R86" s="46">
        <v>2E-3</v>
      </c>
      <c r="S86" s="71">
        <v>0.17743</v>
      </c>
      <c r="T86" s="21">
        <v>2.64</v>
      </c>
      <c r="U86" s="21">
        <v>2.78</v>
      </c>
      <c r="V86" s="21">
        <v>0.165162</v>
      </c>
      <c r="W86" s="21"/>
      <c r="X86" s="25">
        <f t="shared" si="1"/>
        <v>4.6330589849108387E-10</v>
      </c>
      <c r="Y86" s="21"/>
      <c r="Z86" t="s">
        <v>543</v>
      </c>
    </row>
    <row r="87" spans="1:26" x14ac:dyDescent="0.25">
      <c r="A87" s="70" t="s">
        <v>533</v>
      </c>
      <c r="B87" s="4" t="s">
        <v>443</v>
      </c>
      <c r="C87" s="4" t="s">
        <v>186</v>
      </c>
      <c r="D87" s="4" t="s">
        <v>433</v>
      </c>
      <c r="E87" s="6">
        <v>65</v>
      </c>
      <c r="F87" s="4">
        <v>100</v>
      </c>
      <c r="G87" s="4">
        <v>600</v>
      </c>
      <c r="H87" s="4">
        <v>400</v>
      </c>
      <c r="I87" s="4">
        <v>10</v>
      </c>
      <c r="J87" s="22">
        <v>15</v>
      </c>
      <c r="K87" s="30">
        <v>1E-3</v>
      </c>
      <c r="L87" s="30">
        <v>4.0000000000000001E-8</v>
      </c>
      <c r="M87" s="51">
        <v>0.3</v>
      </c>
      <c r="N87" s="4">
        <v>48</v>
      </c>
      <c r="O87" s="25">
        <v>4890000</v>
      </c>
      <c r="P87" s="15">
        <v>2.78</v>
      </c>
      <c r="Q87" s="43">
        <v>1E-8</v>
      </c>
      <c r="R87" s="46">
        <v>1.8E-3</v>
      </c>
      <c r="S87" s="71">
        <v>0.15656</v>
      </c>
      <c r="T87" s="21">
        <v>3.03</v>
      </c>
      <c r="U87" s="21">
        <v>3.1</v>
      </c>
      <c r="V87" s="21">
        <v>0.16511600000000001</v>
      </c>
      <c r="W87" s="21"/>
      <c r="X87" s="25">
        <f t="shared" si="1"/>
        <v>2.0678571428571429E-8</v>
      </c>
      <c r="Y87" s="21"/>
    </row>
    <row r="88" spans="1:26" x14ac:dyDescent="0.25">
      <c r="A88" s="70" t="s">
        <v>534</v>
      </c>
      <c r="B88" s="4" t="s">
        <v>443</v>
      </c>
      <c r="C88" s="4" t="s">
        <v>186</v>
      </c>
      <c r="D88" s="4" t="s">
        <v>433</v>
      </c>
      <c r="E88" s="6">
        <v>65</v>
      </c>
      <c r="F88" s="4">
        <v>100</v>
      </c>
      <c r="G88" s="4">
        <v>600</v>
      </c>
      <c r="H88" s="4">
        <v>400</v>
      </c>
      <c r="I88" s="4">
        <v>10</v>
      </c>
      <c r="J88" s="22">
        <v>15</v>
      </c>
      <c r="K88" s="30">
        <v>1E-3</v>
      </c>
      <c r="L88" s="30">
        <v>4.0000000000000001E-8</v>
      </c>
      <c r="M88" s="51">
        <v>0.5</v>
      </c>
      <c r="N88" s="4">
        <v>48</v>
      </c>
      <c r="O88" s="25">
        <v>4890000</v>
      </c>
      <c r="P88" s="15">
        <v>2.78</v>
      </c>
      <c r="Q88" s="43">
        <v>1E-8</v>
      </c>
      <c r="R88" s="46">
        <v>1.5E-3</v>
      </c>
      <c r="S88" s="71">
        <v>0.13728000000000001</v>
      </c>
      <c r="T88" s="21">
        <v>3.64</v>
      </c>
      <c r="U88" s="21">
        <v>3.7</v>
      </c>
      <c r="V88" s="21">
        <v>0.165765</v>
      </c>
      <c r="W88" s="21"/>
      <c r="X88" s="25">
        <f t="shared" si="1"/>
        <v>1.8763888888888889E-7</v>
      </c>
      <c r="Y88" s="21"/>
    </row>
    <row r="89" spans="1:26" x14ac:dyDescent="0.25">
      <c r="A89" s="70" t="s">
        <v>535</v>
      </c>
      <c r="B89" s="4" t="s">
        <v>443</v>
      </c>
      <c r="C89" s="4" t="s">
        <v>186</v>
      </c>
      <c r="D89" s="4" t="s">
        <v>433</v>
      </c>
      <c r="E89" s="6">
        <v>65</v>
      </c>
      <c r="F89" s="4">
        <v>100</v>
      </c>
      <c r="G89" s="4">
        <v>600</v>
      </c>
      <c r="H89" s="4">
        <v>400</v>
      </c>
      <c r="I89" s="4">
        <v>10</v>
      </c>
      <c r="J89" s="22">
        <v>15</v>
      </c>
      <c r="K89" s="30">
        <v>1E-3</v>
      </c>
      <c r="L89" s="30">
        <v>4.0000000000000001E-8</v>
      </c>
      <c r="M89" s="51">
        <v>0.7</v>
      </c>
      <c r="N89" s="4">
        <v>48</v>
      </c>
      <c r="O89" s="25">
        <v>4890000</v>
      </c>
      <c r="P89" s="15">
        <v>2.78</v>
      </c>
      <c r="Q89" s="43">
        <v>1E-8</v>
      </c>
      <c r="R89" s="46">
        <v>1.1999999999999999E-3</v>
      </c>
      <c r="S89" s="71">
        <v>0.104134</v>
      </c>
      <c r="T89" s="21">
        <v>4.76</v>
      </c>
      <c r="U89" s="21">
        <v>4.8499999999999996</v>
      </c>
      <c r="V89" s="21">
        <v>0.16633100000000001</v>
      </c>
      <c r="W89" s="21"/>
      <c r="X89" s="25">
        <f t="shared" si="1"/>
        <v>1.4302253086419747E-6</v>
      </c>
      <c r="Y89" s="21"/>
    </row>
    <row r="90" spans="1:26" x14ac:dyDescent="0.25">
      <c r="A90" s="70" t="s">
        <v>536</v>
      </c>
      <c r="B90" s="4" t="s">
        <v>443</v>
      </c>
      <c r="C90" s="4" t="s">
        <v>186</v>
      </c>
      <c r="D90" s="4" t="s">
        <v>433</v>
      </c>
      <c r="E90" s="6">
        <v>65</v>
      </c>
      <c r="F90" s="4">
        <v>100</v>
      </c>
      <c r="G90" s="4">
        <v>600</v>
      </c>
      <c r="H90" s="4">
        <v>400</v>
      </c>
      <c r="I90" s="4">
        <v>10</v>
      </c>
      <c r="J90" s="22">
        <v>15</v>
      </c>
      <c r="K90" s="30">
        <v>1E-3</v>
      </c>
      <c r="L90" s="30">
        <v>4.0000000000000001E-8</v>
      </c>
      <c r="M90" s="51">
        <v>0.9</v>
      </c>
      <c r="N90" s="4">
        <v>48</v>
      </c>
      <c r="O90" s="25">
        <v>4890000</v>
      </c>
      <c r="P90" s="15">
        <v>2.78</v>
      </c>
      <c r="Q90" s="43">
        <v>1E-8</v>
      </c>
      <c r="R90" s="46">
        <v>5.9999999999999995E-4</v>
      </c>
      <c r="S90" s="81">
        <v>5.5454000000000003E-2</v>
      </c>
      <c r="T90" s="63">
        <v>8.0299999999999994</v>
      </c>
      <c r="U90" s="63">
        <v>8.5299999999999994</v>
      </c>
      <c r="V90" s="63">
        <v>0.166464</v>
      </c>
      <c r="W90" s="63"/>
      <c r="X90" s="25">
        <f t="shared" si="1"/>
        <v>2.7357750000000014E-5</v>
      </c>
      <c r="Y90" s="63"/>
      <c r="Z90" t="s">
        <v>544</v>
      </c>
    </row>
    <row r="91" spans="1:26" x14ac:dyDescent="0.25">
      <c r="A91" s="80" t="s">
        <v>549</v>
      </c>
      <c r="B91" s="4"/>
      <c r="C91" s="4"/>
      <c r="D91" s="4"/>
      <c r="E91" s="4"/>
      <c r="F91" s="4"/>
      <c r="G91" s="4"/>
      <c r="H91" s="4"/>
      <c r="I91" s="4"/>
      <c r="J91" s="22"/>
      <c r="K91" s="30"/>
      <c r="L91" s="30"/>
      <c r="M91" s="51"/>
      <c r="N91" s="4"/>
      <c r="O91" s="25"/>
      <c r="P91" s="15"/>
      <c r="Q91" s="43"/>
      <c r="R91" s="46"/>
      <c r="S91" s="71"/>
      <c r="T91" s="21"/>
      <c r="U91" s="21"/>
      <c r="V91" s="21"/>
      <c r="W91" s="21"/>
      <c r="X91" s="25"/>
      <c r="Y91" s="21"/>
    </row>
    <row r="92" spans="1:26" x14ac:dyDescent="0.25">
      <c r="A92" s="70" t="s">
        <v>550</v>
      </c>
      <c r="B92" s="4" t="s">
        <v>443</v>
      </c>
      <c r="C92" s="4" t="s">
        <v>186</v>
      </c>
      <c r="D92" s="4" t="s">
        <v>433</v>
      </c>
      <c r="E92" s="6">
        <v>65</v>
      </c>
      <c r="F92" s="4">
        <v>100</v>
      </c>
      <c r="G92" s="4">
        <v>600</v>
      </c>
      <c r="H92" s="4">
        <v>400</v>
      </c>
      <c r="I92" s="4">
        <v>30</v>
      </c>
      <c r="J92" s="22">
        <v>15</v>
      </c>
      <c r="K92" s="30">
        <v>1.0000000000000001E-5</v>
      </c>
      <c r="L92" s="30">
        <v>4.0000000000000001E-8</v>
      </c>
      <c r="M92" s="51">
        <v>0.1</v>
      </c>
      <c r="N92" s="4">
        <v>48</v>
      </c>
      <c r="O92" s="25">
        <v>489000</v>
      </c>
      <c r="P92" s="15">
        <v>2.78</v>
      </c>
      <c r="Q92" s="43">
        <v>1E-8</v>
      </c>
      <c r="R92" s="46">
        <v>2E-3</v>
      </c>
      <c r="S92" s="71">
        <v>0.84914999999999996</v>
      </c>
      <c r="T92" s="21">
        <v>0.89</v>
      </c>
      <c r="U92" s="21">
        <v>0.92</v>
      </c>
      <c r="V92" s="21">
        <v>0.16667100000000001</v>
      </c>
      <c r="W92" s="21"/>
      <c r="X92" s="25">
        <f t="shared" si="1"/>
        <v>4.6330589849108381E-8</v>
      </c>
      <c r="Y92" s="21"/>
    </row>
    <row r="93" spans="1:26" x14ac:dyDescent="0.25">
      <c r="A93" s="70" t="s">
        <v>551</v>
      </c>
      <c r="B93" s="4" t="s">
        <v>443</v>
      </c>
      <c r="C93" s="4" t="s">
        <v>186</v>
      </c>
      <c r="D93" s="4" t="s">
        <v>433</v>
      </c>
      <c r="E93" s="6">
        <v>65</v>
      </c>
      <c r="F93" s="4">
        <v>100</v>
      </c>
      <c r="G93" s="4">
        <v>600</v>
      </c>
      <c r="H93" s="4">
        <v>400</v>
      </c>
      <c r="I93" s="4">
        <v>10</v>
      </c>
      <c r="J93" s="22">
        <v>15</v>
      </c>
      <c r="K93" s="30">
        <v>1.0000000000000001E-5</v>
      </c>
      <c r="L93" s="30">
        <v>4.0000000000000001E-8</v>
      </c>
      <c r="M93" s="51">
        <v>0.3</v>
      </c>
      <c r="N93" s="4">
        <v>48</v>
      </c>
      <c r="O93" s="25">
        <v>489000</v>
      </c>
      <c r="P93" s="15">
        <v>2.78</v>
      </c>
      <c r="Q93" s="43">
        <v>1E-8</v>
      </c>
      <c r="R93" s="46">
        <v>5.7999999999999996E-3</v>
      </c>
      <c r="S93" s="71">
        <v>0.54454999999999998</v>
      </c>
      <c r="T93" s="21">
        <v>1.1499999999999999</v>
      </c>
      <c r="U93" s="21">
        <v>1.21</v>
      </c>
      <c r="V93" s="21">
        <v>0.16977300000000001</v>
      </c>
      <c r="W93" s="21"/>
      <c r="X93" s="25">
        <f t="shared" si="1"/>
        <v>2.0678571428571426E-6</v>
      </c>
      <c r="Y93" s="21"/>
    </row>
    <row r="94" spans="1:26" x14ac:dyDescent="0.25">
      <c r="A94" s="70" t="s">
        <v>552</v>
      </c>
      <c r="B94" s="4" t="s">
        <v>443</v>
      </c>
      <c r="C94" s="4" t="s">
        <v>186</v>
      </c>
      <c r="D94" s="4" t="s">
        <v>433</v>
      </c>
      <c r="E94" s="6">
        <v>65</v>
      </c>
      <c r="F94" s="4">
        <v>100</v>
      </c>
      <c r="G94" s="4">
        <v>600</v>
      </c>
      <c r="H94" s="4">
        <v>400</v>
      </c>
      <c r="I94" s="4">
        <v>30</v>
      </c>
      <c r="J94" s="22">
        <v>15</v>
      </c>
      <c r="K94" s="30">
        <v>1.0000000000000001E-5</v>
      </c>
      <c r="L94" s="30">
        <v>4.0000000000000001E-8</v>
      </c>
      <c r="M94" s="51">
        <v>0.5</v>
      </c>
      <c r="N94" s="4">
        <v>48</v>
      </c>
      <c r="O94" s="25">
        <v>489000</v>
      </c>
      <c r="P94" s="15">
        <v>2.78</v>
      </c>
      <c r="Q94" s="43">
        <v>1E-8</v>
      </c>
      <c r="R94" s="46">
        <v>5.4999999999999997E-3</v>
      </c>
      <c r="S94" s="71">
        <v>0.65903</v>
      </c>
      <c r="T94" s="21">
        <v>1.56</v>
      </c>
      <c r="U94" s="21">
        <v>1.82</v>
      </c>
      <c r="V94" s="21">
        <v>0.157669</v>
      </c>
      <c r="W94" s="21"/>
      <c r="X94" s="25">
        <f t="shared" si="1"/>
        <v>1.8763888888888886E-5</v>
      </c>
      <c r="Y94" s="21"/>
      <c r="Z94" t="s">
        <v>555</v>
      </c>
    </row>
    <row r="95" spans="1:26" x14ac:dyDescent="0.25">
      <c r="A95" s="70" t="s">
        <v>553</v>
      </c>
      <c r="B95" s="4" t="s">
        <v>443</v>
      </c>
      <c r="C95" s="4" t="s">
        <v>186</v>
      </c>
      <c r="D95" s="4" t="s">
        <v>433</v>
      </c>
      <c r="E95" s="6">
        <v>65</v>
      </c>
      <c r="F95" s="4">
        <v>100</v>
      </c>
      <c r="G95" s="4">
        <v>600</v>
      </c>
      <c r="H95" s="4">
        <v>400</v>
      </c>
      <c r="I95" s="4">
        <v>30</v>
      </c>
      <c r="J95" s="22">
        <v>15</v>
      </c>
      <c r="K95" s="30">
        <v>1.0000000000000001E-5</v>
      </c>
      <c r="L95" s="30">
        <v>4.0000000000000001E-8</v>
      </c>
      <c r="M95" s="51">
        <v>0.7</v>
      </c>
      <c r="N95" s="4">
        <v>48</v>
      </c>
      <c r="O95" s="25">
        <v>489000</v>
      </c>
      <c r="P95" s="15">
        <v>2.78</v>
      </c>
      <c r="Q95" s="43">
        <v>1E-8</v>
      </c>
      <c r="R95" s="46">
        <v>3.3E-3</v>
      </c>
      <c r="S95" s="71">
        <v>0.63077799999999995</v>
      </c>
      <c r="T95" s="21">
        <v>2.08</v>
      </c>
      <c r="U95" s="21">
        <v>2.29</v>
      </c>
      <c r="V95" s="21">
        <v>0.16282199999999999</v>
      </c>
      <c r="W95" s="21"/>
      <c r="X95" s="25">
        <f t="shared" si="1"/>
        <v>1.4302253086419746E-4</v>
      </c>
      <c r="Y95" s="21"/>
      <c r="Z95" t="s">
        <v>566</v>
      </c>
    </row>
    <row r="96" spans="1:26" x14ac:dyDescent="0.25">
      <c r="A96" s="70" t="s">
        <v>590</v>
      </c>
      <c r="B96" s="4" t="s">
        <v>443</v>
      </c>
      <c r="C96" s="4" t="s">
        <v>186</v>
      </c>
      <c r="D96" s="4" t="s">
        <v>433</v>
      </c>
      <c r="E96" s="6">
        <v>65</v>
      </c>
      <c r="F96" s="4">
        <v>100</v>
      </c>
      <c r="G96" s="4">
        <v>600</v>
      </c>
      <c r="H96" s="4">
        <v>400</v>
      </c>
      <c r="I96" s="4">
        <v>30</v>
      </c>
      <c r="J96" s="22">
        <v>15</v>
      </c>
      <c r="K96" s="30">
        <v>1.0000000000000001E-5</v>
      </c>
      <c r="L96" s="30">
        <v>4.0000000000000001E-8</v>
      </c>
      <c r="M96" s="51">
        <v>0.75</v>
      </c>
      <c r="N96" s="4">
        <v>48</v>
      </c>
      <c r="O96" s="25">
        <v>489000</v>
      </c>
      <c r="P96" s="15">
        <v>2.78</v>
      </c>
      <c r="Q96" s="43">
        <v>1E-8</v>
      </c>
      <c r="R96" s="46">
        <v>3.3E-3</v>
      </c>
      <c r="S96" s="71">
        <v>0.59178200000000003</v>
      </c>
      <c r="T96" s="21">
        <v>2.15</v>
      </c>
      <c r="U96" s="21">
        <v>2.77</v>
      </c>
      <c r="V96" s="21">
        <v>0.15305299999999999</v>
      </c>
      <c r="W96" s="21"/>
      <c r="X96" s="25">
        <f t="shared" si="1"/>
        <v>2.5331250000000001E-4</v>
      </c>
      <c r="Y96" s="21"/>
    </row>
    <row r="97" spans="1:27" x14ac:dyDescent="0.25">
      <c r="A97" s="70" t="s">
        <v>591</v>
      </c>
      <c r="B97" s="4" t="s">
        <v>443</v>
      </c>
      <c r="C97" s="4" t="s">
        <v>186</v>
      </c>
      <c r="D97" s="4" t="s">
        <v>433</v>
      </c>
      <c r="E97" s="6">
        <v>65</v>
      </c>
      <c r="F97" s="4">
        <v>100</v>
      </c>
      <c r="G97" s="4">
        <v>600</v>
      </c>
      <c r="H97" s="4">
        <v>400</v>
      </c>
      <c r="I97" s="4">
        <v>50</v>
      </c>
      <c r="J97" s="22">
        <v>15</v>
      </c>
      <c r="K97" s="30">
        <v>1.0000000000000001E-5</v>
      </c>
      <c r="L97" s="30">
        <v>4.0000000000000001E-8</v>
      </c>
      <c r="M97" s="51">
        <v>0.8</v>
      </c>
      <c r="N97" s="4">
        <v>48</v>
      </c>
      <c r="O97" s="25">
        <v>489000</v>
      </c>
      <c r="P97" s="15">
        <v>2.78</v>
      </c>
      <c r="Q97" s="43">
        <v>1E-8</v>
      </c>
      <c r="R97" s="46">
        <v>3.3E-3</v>
      </c>
      <c r="S97" s="71">
        <v>0.613035</v>
      </c>
      <c r="T97" s="21">
        <v>3.31</v>
      </c>
      <c r="U97" s="21">
        <v>3.61</v>
      </c>
      <c r="V97" s="21">
        <v>0.17256099999999999</v>
      </c>
      <c r="W97" s="21"/>
      <c r="X97" s="25">
        <f t="shared" si="1"/>
        <v>4.803555555555559E-4</v>
      </c>
      <c r="Y97" s="21"/>
      <c r="Z97" t="s">
        <v>592</v>
      </c>
    </row>
    <row r="98" spans="1:27" x14ac:dyDescent="0.25">
      <c r="A98" s="70" t="s">
        <v>593</v>
      </c>
      <c r="B98" s="4" t="s">
        <v>443</v>
      </c>
      <c r="C98" s="4" t="s">
        <v>186</v>
      </c>
      <c r="D98" s="4" t="s">
        <v>433</v>
      </c>
      <c r="E98" s="6">
        <v>65</v>
      </c>
      <c r="F98" s="4">
        <v>100</v>
      </c>
      <c r="G98" s="4">
        <v>600</v>
      </c>
      <c r="H98" s="4">
        <v>400</v>
      </c>
      <c r="I98" s="4">
        <v>40</v>
      </c>
      <c r="J98" s="22">
        <v>30</v>
      </c>
      <c r="K98" s="30">
        <v>1.0000000000000001E-5</v>
      </c>
      <c r="L98" s="30">
        <v>4.0000000000000001E-8</v>
      </c>
      <c r="M98" s="51">
        <v>0.85</v>
      </c>
      <c r="N98" s="4">
        <v>48</v>
      </c>
      <c r="O98" s="25">
        <v>489000</v>
      </c>
      <c r="P98" s="15">
        <v>2.78</v>
      </c>
      <c r="Q98" s="43">
        <v>1E-8</v>
      </c>
      <c r="R98" s="46">
        <v>3.3E-3</v>
      </c>
      <c r="S98" s="81">
        <v>3.1891449999999999</v>
      </c>
      <c r="T98" s="63">
        <v>0.06</v>
      </c>
      <c r="U98" s="63">
        <v>0.06</v>
      </c>
      <c r="V98" s="63">
        <v>0.119603</v>
      </c>
      <c r="W98" s="21"/>
      <c r="X98" s="25">
        <f t="shared" si="1"/>
        <v>1.0242998456790121E-3</v>
      </c>
      <c r="Y98" s="21"/>
      <c r="Z98" t="s">
        <v>619</v>
      </c>
    </row>
    <row r="99" spans="1:27" x14ac:dyDescent="0.25">
      <c r="A99" s="70" t="s">
        <v>554</v>
      </c>
      <c r="B99" s="4" t="s">
        <v>443</v>
      </c>
      <c r="C99" s="4" t="s">
        <v>186</v>
      </c>
      <c r="D99" s="4" t="s">
        <v>433</v>
      </c>
      <c r="E99" s="6">
        <v>65</v>
      </c>
      <c r="F99" s="4">
        <v>100</v>
      </c>
      <c r="G99" s="4">
        <v>600</v>
      </c>
      <c r="H99" s="4">
        <v>400</v>
      </c>
      <c r="I99" s="4">
        <v>50</v>
      </c>
      <c r="J99" s="22">
        <v>15</v>
      </c>
      <c r="K99" s="30">
        <v>1.0000000000000001E-5</v>
      </c>
      <c r="L99" s="30">
        <v>4.0000000000000001E-8</v>
      </c>
      <c r="M99" s="51">
        <v>0.9</v>
      </c>
      <c r="N99" s="4">
        <v>48</v>
      </c>
      <c r="O99" s="25">
        <v>489000</v>
      </c>
      <c r="P99" s="15">
        <v>2.78</v>
      </c>
      <c r="Q99" s="43">
        <v>1E-8</v>
      </c>
      <c r="R99" s="46">
        <v>1.5E-3</v>
      </c>
      <c r="S99" s="71"/>
      <c r="T99" s="21"/>
      <c r="U99" s="21"/>
      <c r="V99" s="21"/>
      <c r="W99" s="21"/>
      <c r="X99" s="25">
        <f t="shared" si="1"/>
        <v>2.7357750000000011E-3</v>
      </c>
      <c r="Y99" s="21"/>
      <c r="Z99" t="s">
        <v>568</v>
      </c>
    </row>
    <row r="100" spans="1:27" x14ac:dyDescent="0.25">
      <c r="A100" s="70" t="s">
        <v>557</v>
      </c>
      <c r="B100" s="4" t="s">
        <v>443</v>
      </c>
      <c r="C100" s="4" t="s">
        <v>186</v>
      </c>
      <c r="D100" s="4" t="s">
        <v>433</v>
      </c>
      <c r="E100" s="6">
        <v>65</v>
      </c>
      <c r="F100" s="4">
        <v>100</v>
      </c>
      <c r="G100" s="4">
        <v>600</v>
      </c>
      <c r="H100" s="4">
        <v>400</v>
      </c>
      <c r="I100" s="4">
        <v>10</v>
      </c>
      <c r="J100" s="22">
        <v>15</v>
      </c>
      <c r="K100" s="30">
        <v>1.0000000000000001E-5</v>
      </c>
      <c r="L100" s="30">
        <v>4.0000000000000001E-8</v>
      </c>
      <c r="M100" s="51">
        <v>0.1</v>
      </c>
      <c r="N100" s="4">
        <v>48</v>
      </c>
      <c r="O100" s="25">
        <v>2440000</v>
      </c>
      <c r="P100" s="15">
        <v>2.78</v>
      </c>
      <c r="Q100" s="43">
        <v>1E-8</v>
      </c>
      <c r="R100" s="46">
        <v>2E-3</v>
      </c>
      <c r="S100" s="71">
        <v>0.34653</v>
      </c>
      <c r="T100" s="21">
        <v>1.98</v>
      </c>
      <c r="U100" s="21">
        <v>2.0099999999999998</v>
      </c>
      <c r="V100" s="21">
        <v>0.160913</v>
      </c>
      <c r="W100" s="21"/>
      <c r="X100" s="25">
        <f t="shared" si="1"/>
        <v>4.6330589849108381E-8</v>
      </c>
      <c r="Y100" s="21"/>
      <c r="Z100" t="s">
        <v>562</v>
      </c>
    </row>
    <row r="101" spans="1:27" x14ac:dyDescent="0.25">
      <c r="A101" s="70" t="s">
        <v>558</v>
      </c>
      <c r="B101" s="4" t="s">
        <v>443</v>
      </c>
      <c r="C101" s="4" t="s">
        <v>186</v>
      </c>
      <c r="D101" s="4" t="s">
        <v>433</v>
      </c>
      <c r="E101" s="6">
        <v>65</v>
      </c>
      <c r="F101" s="4">
        <v>100</v>
      </c>
      <c r="G101" s="4">
        <v>600</v>
      </c>
      <c r="H101" s="4">
        <v>400</v>
      </c>
      <c r="I101" s="4">
        <v>10</v>
      </c>
      <c r="J101" s="22">
        <v>15</v>
      </c>
      <c r="K101" s="30">
        <v>1.0000000000000001E-5</v>
      </c>
      <c r="L101" s="30">
        <v>4.0000000000000001E-8</v>
      </c>
      <c r="M101" s="51">
        <v>0.3</v>
      </c>
      <c r="N101" s="4">
        <v>48</v>
      </c>
      <c r="O101" s="25">
        <v>2440000</v>
      </c>
      <c r="P101" s="15">
        <v>2.78</v>
      </c>
      <c r="Q101" s="43">
        <v>1E-8</v>
      </c>
      <c r="R101" s="46">
        <v>1.5E-3</v>
      </c>
      <c r="S101" s="71">
        <v>0.30757000000000001</v>
      </c>
      <c r="T101" s="21">
        <v>2.66</v>
      </c>
      <c r="U101" s="21">
        <v>2.68</v>
      </c>
      <c r="V101" s="21">
        <v>0.15983600000000001</v>
      </c>
      <c r="W101" s="21"/>
      <c r="X101" s="25">
        <f t="shared" si="1"/>
        <v>2.0678571428571426E-6</v>
      </c>
      <c r="Y101" s="21"/>
      <c r="Z101" t="s">
        <v>563</v>
      </c>
    </row>
    <row r="102" spans="1:27" x14ac:dyDescent="0.25">
      <c r="A102" s="70" t="s">
        <v>559</v>
      </c>
      <c r="B102" s="4" t="s">
        <v>443</v>
      </c>
      <c r="C102" s="4" t="s">
        <v>186</v>
      </c>
      <c r="D102" s="4" t="s">
        <v>433</v>
      </c>
      <c r="E102" s="6">
        <v>65</v>
      </c>
      <c r="F102" s="4">
        <v>100</v>
      </c>
      <c r="G102" s="4">
        <v>600</v>
      </c>
      <c r="H102" s="4">
        <v>400</v>
      </c>
      <c r="I102" s="4">
        <v>10</v>
      </c>
      <c r="J102" s="22">
        <v>15</v>
      </c>
      <c r="K102" s="30">
        <v>1.0000000000000001E-5</v>
      </c>
      <c r="L102" s="30">
        <v>4.0000000000000001E-8</v>
      </c>
      <c r="M102" s="51">
        <v>0.5</v>
      </c>
      <c r="N102" s="4">
        <v>48</v>
      </c>
      <c r="O102" s="25">
        <v>2440000</v>
      </c>
      <c r="P102" s="15">
        <v>2.78</v>
      </c>
      <c r="Q102" s="43">
        <v>1E-8</v>
      </c>
      <c r="R102" s="46">
        <v>1.1999999999999999E-3</v>
      </c>
      <c r="S102" s="71">
        <v>0.19767000000000001</v>
      </c>
      <c r="T102" s="21">
        <v>3.57</v>
      </c>
      <c r="U102" s="21">
        <v>3.67</v>
      </c>
      <c r="V102" s="21">
        <v>0.15972900000000001</v>
      </c>
      <c r="W102" s="21"/>
      <c r="X102" s="25">
        <f t="shared" si="1"/>
        <v>1.8763888888888886E-5</v>
      </c>
      <c r="Y102" s="21"/>
      <c r="Z102" t="s">
        <v>564</v>
      </c>
    </row>
    <row r="103" spans="1:27" x14ac:dyDescent="0.25">
      <c r="A103" s="70" t="s">
        <v>560</v>
      </c>
      <c r="B103" s="4" t="s">
        <v>443</v>
      </c>
      <c r="C103" s="4" t="s">
        <v>186</v>
      </c>
      <c r="D103" s="4" t="s">
        <v>433</v>
      </c>
      <c r="E103" s="6">
        <v>65</v>
      </c>
      <c r="F103" s="4">
        <v>100</v>
      </c>
      <c r="G103" s="4">
        <v>600</v>
      </c>
      <c r="H103" s="4">
        <v>400</v>
      </c>
      <c r="I103" s="4">
        <v>10</v>
      </c>
      <c r="J103" s="22">
        <v>15</v>
      </c>
      <c r="K103" s="30">
        <v>1.0000000000000001E-5</v>
      </c>
      <c r="L103" s="30">
        <v>4.0000000000000001E-8</v>
      </c>
      <c r="M103" s="51">
        <v>0.7</v>
      </c>
      <c r="N103" s="4">
        <v>48</v>
      </c>
      <c r="O103" s="25">
        <v>2440000</v>
      </c>
      <c r="P103" s="15">
        <v>2.78</v>
      </c>
      <c r="Q103" s="43">
        <v>1E-8</v>
      </c>
      <c r="R103" s="46">
        <v>8.0000000000000004E-4</v>
      </c>
      <c r="S103" s="71">
        <v>0.154255</v>
      </c>
      <c r="T103" s="21">
        <v>5.01</v>
      </c>
      <c r="U103" s="21">
        <v>5.25</v>
      </c>
      <c r="V103" s="21">
        <v>0.16237699999999999</v>
      </c>
      <c r="W103" s="21"/>
      <c r="X103" s="25">
        <f t="shared" si="1"/>
        <v>1.4302253086419746E-4</v>
      </c>
      <c r="Y103" s="21"/>
      <c r="Z103" t="s">
        <v>565</v>
      </c>
    </row>
    <row r="104" spans="1:27" x14ac:dyDescent="0.25">
      <c r="A104" s="70" t="s">
        <v>561</v>
      </c>
      <c r="B104" s="4" t="s">
        <v>443</v>
      </c>
      <c r="C104" s="4" t="s">
        <v>186</v>
      </c>
      <c r="D104" s="4" t="s">
        <v>433</v>
      </c>
      <c r="E104" s="6">
        <v>65</v>
      </c>
      <c r="F104" s="4">
        <v>100</v>
      </c>
      <c r="G104" s="4">
        <v>600</v>
      </c>
      <c r="H104" s="4">
        <v>400</v>
      </c>
      <c r="I104" s="4">
        <v>30</v>
      </c>
      <c r="J104" s="22">
        <v>15</v>
      </c>
      <c r="K104" s="30">
        <v>1.0000000000000001E-5</v>
      </c>
      <c r="L104" s="30">
        <v>4.0000000000000001E-8</v>
      </c>
      <c r="M104" s="51">
        <v>0.9</v>
      </c>
      <c r="N104" s="4">
        <v>48</v>
      </c>
      <c r="O104" s="25">
        <v>2440000</v>
      </c>
      <c r="P104" s="15">
        <v>2.78</v>
      </c>
      <c r="Q104" s="43">
        <v>1E-8</v>
      </c>
      <c r="R104" s="46">
        <v>1E-3</v>
      </c>
      <c r="S104" s="71">
        <v>0.12922</v>
      </c>
      <c r="T104" s="21">
        <v>8.83</v>
      </c>
      <c r="U104" s="21">
        <v>9.61</v>
      </c>
      <c r="V104" s="21">
        <v>0.159079</v>
      </c>
      <c r="W104" s="21"/>
      <c r="X104" s="25">
        <f t="shared" si="1"/>
        <v>2.7357750000000011E-3</v>
      </c>
      <c r="Y104" s="21"/>
      <c r="Z104" t="s">
        <v>567</v>
      </c>
    </row>
    <row r="105" spans="1:27" x14ac:dyDescent="0.25">
      <c r="A105" s="70"/>
      <c r="B105" s="4"/>
      <c r="C105" s="4"/>
      <c r="D105" s="4"/>
      <c r="E105" s="4"/>
      <c r="F105" s="4"/>
      <c r="G105" s="4"/>
      <c r="H105" s="4"/>
      <c r="I105" s="4"/>
      <c r="J105" s="22"/>
      <c r="K105" s="30"/>
      <c r="L105" s="30"/>
      <c r="M105" s="51"/>
      <c r="N105" s="4"/>
      <c r="O105" s="25"/>
      <c r="P105" s="15"/>
      <c r="Q105" s="43"/>
      <c r="R105" s="46"/>
      <c r="S105" s="71"/>
      <c r="T105" s="21"/>
      <c r="U105" s="21"/>
      <c r="V105" s="21"/>
      <c r="W105" s="21"/>
      <c r="X105" s="21"/>
      <c r="Y105" s="21"/>
    </row>
    <row r="106" spans="1:27" x14ac:dyDescent="0.25">
      <c r="A106" s="80" t="s">
        <v>605</v>
      </c>
      <c r="B106" s="4"/>
      <c r="C106" s="4"/>
      <c r="D106" s="4"/>
      <c r="E106" s="4"/>
      <c r="F106" s="4"/>
      <c r="G106" s="4"/>
      <c r="H106" s="4"/>
      <c r="I106" s="4"/>
      <c r="J106" s="22"/>
      <c r="K106" s="30"/>
      <c r="L106" s="30"/>
      <c r="M106" s="51"/>
      <c r="N106" s="4"/>
      <c r="O106" s="25"/>
      <c r="P106" s="15"/>
      <c r="Q106" s="43"/>
      <c r="R106" s="46"/>
      <c r="S106" s="71"/>
      <c r="T106" s="21"/>
      <c r="U106" s="21"/>
      <c r="V106" s="21"/>
      <c r="W106" s="21"/>
      <c r="X106" s="21"/>
      <c r="Y106" s="21"/>
    </row>
    <row r="107" spans="1:27" x14ac:dyDescent="0.25">
      <c r="A107" s="38" t="s">
        <v>672</v>
      </c>
      <c r="B107" s="4" t="s">
        <v>443</v>
      </c>
      <c r="C107" s="4" t="s">
        <v>186</v>
      </c>
      <c r="D107" s="4" t="s">
        <v>433</v>
      </c>
      <c r="E107" s="6">
        <v>65</v>
      </c>
      <c r="F107" s="4">
        <v>200</v>
      </c>
      <c r="G107" s="4">
        <v>1200</v>
      </c>
      <c r="H107" s="4">
        <v>400</v>
      </c>
      <c r="I107" s="4">
        <v>10</v>
      </c>
      <c r="J107" s="22">
        <v>30</v>
      </c>
      <c r="K107" s="30">
        <v>1.0000000000000001E-5</v>
      </c>
      <c r="L107" s="30">
        <v>9.9999999999999995E-7</v>
      </c>
      <c r="M107" s="51">
        <v>0.3</v>
      </c>
      <c r="N107" s="4">
        <v>48</v>
      </c>
      <c r="O107" s="25">
        <v>4890000</v>
      </c>
      <c r="P107" s="15">
        <v>2.78</v>
      </c>
      <c r="Q107" s="43">
        <v>1E-8</v>
      </c>
      <c r="R107" s="46">
        <v>1E-3</v>
      </c>
      <c r="S107" s="92">
        <v>0.27943200000000001</v>
      </c>
      <c r="T107" s="103">
        <v>6.86</v>
      </c>
      <c r="U107" s="21">
        <v>7.16</v>
      </c>
      <c r="V107" s="21">
        <v>0.79571000000000003</v>
      </c>
      <c r="W107" s="21"/>
      <c r="X107" s="25">
        <f t="shared" ref="X107:X108" si="2">M107^3/(1-M107)^2/72*L107^2/K107*101325/0.006</f>
        <v>1.2924107142857143E-3</v>
      </c>
      <c r="Y107" s="21"/>
      <c r="Z107" t="s">
        <v>606</v>
      </c>
    </row>
    <row r="108" spans="1:27" x14ac:dyDescent="0.25">
      <c r="A108" s="38" t="s">
        <v>610</v>
      </c>
      <c r="B108" s="4" t="s">
        <v>443</v>
      </c>
      <c r="C108" s="4" t="s">
        <v>186</v>
      </c>
      <c r="D108" s="4" t="s">
        <v>433</v>
      </c>
      <c r="E108" s="6">
        <v>65</v>
      </c>
      <c r="F108" s="4">
        <v>140</v>
      </c>
      <c r="G108" s="4">
        <v>850</v>
      </c>
      <c r="H108" s="4">
        <v>400</v>
      </c>
      <c r="I108" s="4">
        <v>10</v>
      </c>
      <c r="J108" s="22">
        <v>25</v>
      </c>
      <c r="K108" s="30">
        <v>1.0000000000000001E-5</v>
      </c>
      <c r="L108" s="30">
        <v>9.9999999999999995E-7</v>
      </c>
      <c r="M108" s="51">
        <v>0.3</v>
      </c>
      <c r="N108" s="4">
        <v>48</v>
      </c>
      <c r="O108" s="25">
        <v>4890000</v>
      </c>
      <c r="P108" s="15">
        <v>2.78</v>
      </c>
      <c r="Q108" s="43">
        <v>1E-8</v>
      </c>
      <c r="R108" s="46">
        <v>1E-3</v>
      </c>
      <c r="S108" s="92">
        <v>0.17893100000000001</v>
      </c>
      <c r="T108" s="103">
        <v>6.76</v>
      </c>
      <c r="U108" s="21">
        <v>7.04</v>
      </c>
      <c r="V108" s="21">
        <v>0.37346299999999999</v>
      </c>
      <c r="W108" s="25">
        <v>191000000</v>
      </c>
      <c r="X108" s="25">
        <f t="shared" si="2"/>
        <v>1.2924107142857143E-3</v>
      </c>
      <c r="Y108" s="25"/>
      <c r="Z108" t="s">
        <v>611</v>
      </c>
    </row>
    <row r="109" spans="1:27" x14ac:dyDescent="0.25">
      <c r="A109" s="38" t="s">
        <v>674</v>
      </c>
      <c r="B109" s="4" t="s">
        <v>443</v>
      </c>
      <c r="C109" s="4" t="s">
        <v>186</v>
      </c>
      <c r="D109" s="4" t="s">
        <v>433</v>
      </c>
      <c r="E109" s="6">
        <v>65</v>
      </c>
      <c r="F109" s="4">
        <v>224</v>
      </c>
      <c r="G109" s="4">
        <v>1341</v>
      </c>
      <c r="H109" s="4">
        <v>400</v>
      </c>
      <c r="I109" s="4">
        <v>10</v>
      </c>
      <c r="J109" s="22">
        <v>40</v>
      </c>
      <c r="K109" s="30">
        <v>1.0000000000000001E-5</v>
      </c>
      <c r="L109" s="30">
        <v>9.9999999999999995E-7</v>
      </c>
      <c r="M109" s="51">
        <v>0.3</v>
      </c>
      <c r="N109" s="4">
        <v>48</v>
      </c>
      <c r="O109" s="25">
        <v>4890000</v>
      </c>
      <c r="P109" s="15">
        <v>2.78</v>
      </c>
      <c r="Q109" s="43">
        <v>1E-8</v>
      </c>
      <c r="R109" s="46">
        <v>1E-3</v>
      </c>
      <c r="S109" s="71">
        <v>0.156199</v>
      </c>
      <c r="T109" s="21">
        <v>6.83</v>
      </c>
      <c r="U109" s="21">
        <v>8.59</v>
      </c>
      <c r="V109" s="21">
        <v>1.1559029999999999</v>
      </c>
      <c r="W109" s="21"/>
      <c r="X109" s="21"/>
      <c r="Y109" s="21"/>
      <c r="Z109" t="s">
        <v>673</v>
      </c>
    </row>
    <row r="110" spans="1:27" x14ac:dyDescent="0.25">
      <c r="A110" s="38"/>
      <c r="B110" s="4"/>
      <c r="C110" s="4"/>
      <c r="D110" s="4"/>
      <c r="E110" s="4"/>
      <c r="F110" s="4"/>
      <c r="G110" s="4"/>
      <c r="H110" s="4"/>
      <c r="I110" s="4"/>
      <c r="J110" s="22"/>
      <c r="K110" s="30"/>
      <c r="L110" s="30"/>
      <c r="M110" s="51"/>
      <c r="N110" s="4"/>
      <c r="O110" s="25"/>
      <c r="P110" s="15"/>
      <c r="Q110" s="43"/>
      <c r="R110" s="46"/>
      <c r="S110" s="71"/>
      <c r="T110" s="21"/>
      <c r="U110" s="21"/>
      <c r="V110" s="21"/>
      <c r="W110" s="21"/>
      <c r="X110" s="21"/>
      <c r="Y110" s="21"/>
    </row>
    <row r="111" spans="1:27" x14ac:dyDescent="0.25">
      <c r="A111" s="27"/>
      <c r="P111" s="3"/>
    </row>
    <row r="112" spans="1:27" x14ac:dyDescent="0.25">
      <c r="A112" s="66"/>
      <c r="B112" s="67"/>
      <c r="C112" s="67"/>
      <c r="D112" s="67"/>
      <c r="E112" s="67"/>
      <c r="F112" s="67"/>
      <c r="G112" s="67"/>
      <c r="H112" s="67"/>
      <c r="I112" s="67"/>
      <c r="J112" s="67"/>
      <c r="K112" s="67"/>
      <c r="L112" s="67"/>
      <c r="M112" s="67"/>
      <c r="N112" s="67"/>
      <c r="O112" s="67"/>
      <c r="P112" s="67"/>
      <c r="Q112" s="67"/>
      <c r="R112" s="68"/>
      <c r="S112" s="67"/>
      <c r="T112" s="67"/>
      <c r="U112" s="67"/>
      <c r="V112" s="67"/>
      <c r="W112" s="67"/>
      <c r="X112" s="67"/>
      <c r="Y112" s="67"/>
      <c r="Z112" s="67"/>
      <c r="AA112" s="67"/>
    </row>
    <row r="113" spans="1:26" ht="18.75" x14ac:dyDescent="0.3">
      <c r="A113" s="20"/>
      <c r="B113" s="8" t="s">
        <v>43</v>
      </c>
      <c r="C113" s="8"/>
      <c r="D113" s="8"/>
      <c r="E113" s="3"/>
      <c r="F113" t="s">
        <v>7</v>
      </c>
      <c r="I113" t="s">
        <v>195</v>
      </c>
      <c r="J113" t="s">
        <v>196</v>
      </c>
      <c r="N113" s="8"/>
      <c r="O113" s="8"/>
      <c r="P113" s="3" t="s">
        <v>146</v>
      </c>
      <c r="Q113" s="8"/>
      <c r="S113" t="s">
        <v>8</v>
      </c>
      <c r="T113" t="s">
        <v>378</v>
      </c>
    </row>
    <row r="114" spans="1:26" x14ac:dyDescent="0.25">
      <c r="A114" s="3"/>
      <c r="B114" s="8" t="s">
        <v>44</v>
      </c>
      <c r="C114" s="8" t="s">
        <v>324</v>
      </c>
      <c r="D114" s="8" t="s">
        <v>325</v>
      </c>
      <c r="E114" s="3" t="s">
        <v>46</v>
      </c>
      <c r="F114" s="8" t="s">
        <v>38</v>
      </c>
      <c r="G114" s="8" t="s">
        <v>39</v>
      </c>
      <c r="H114" t="s">
        <v>1</v>
      </c>
      <c r="I114" t="s">
        <v>2</v>
      </c>
      <c r="J114" t="s">
        <v>5</v>
      </c>
      <c r="K114" t="s">
        <v>241</v>
      </c>
      <c r="L114" t="s">
        <v>281</v>
      </c>
      <c r="M114" t="s">
        <v>323</v>
      </c>
      <c r="N114" t="s">
        <v>3</v>
      </c>
      <c r="O114" s="8" t="s">
        <v>4</v>
      </c>
      <c r="P114" s="3" t="s">
        <v>145</v>
      </c>
      <c r="Q114" s="4" t="s">
        <v>287</v>
      </c>
      <c r="R114" s="3" t="s">
        <v>288</v>
      </c>
      <c r="S114" s="4" t="s">
        <v>9</v>
      </c>
      <c r="T114" s="4" t="s">
        <v>10</v>
      </c>
      <c r="U114" s="4" t="s">
        <v>379</v>
      </c>
      <c r="V114" s="4" t="s">
        <v>57</v>
      </c>
      <c r="W114" s="4"/>
      <c r="X114" s="4"/>
      <c r="Y114" s="4"/>
      <c r="Z114" s="4" t="s">
        <v>21</v>
      </c>
    </row>
    <row r="115" spans="1:26" x14ac:dyDescent="0.25">
      <c r="A115" s="27" t="s">
        <v>459</v>
      </c>
    </row>
    <row r="116" spans="1:26" x14ac:dyDescent="0.25">
      <c r="A116" s="27" t="s">
        <v>460</v>
      </c>
    </row>
    <row r="117" spans="1:26" x14ac:dyDescent="0.25">
      <c r="A117" s="38" t="s">
        <v>315</v>
      </c>
      <c r="B117" s="4" t="s">
        <v>284</v>
      </c>
      <c r="C117" s="4" t="s">
        <v>186</v>
      </c>
      <c r="D117" s="4" t="s">
        <v>326</v>
      </c>
      <c r="E117" s="6">
        <v>65</v>
      </c>
      <c r="F117" s="4">
        <v>100</v>
      </c>
      <c r="G117" s="4">
        <v>600</v>
      </c>
      <c r="H117" s="4">
        <v>400</v>
      </c>
      <c r="I117" s="4">
        <v>10</v>
      </c>
      <c r="J117" s="22">
        <v>15</v>
      </c>
      <c r="K117" s="30">
        <v>1.0000000000000001E-5</v>
      </c>
      <c r="L117" s="30">
        <v>4.0000000000000001E-8</v>
      </c>
      <c r="M117" s="51">
        <v>0.01</v>
      </c>
      <c r="N117" s="4">
        <v>48</v>
      </c>
      <c r="O117" s="25">
        <v>4890000</v>
      </c>
      <c r="P117" s="15">
        <v>2.78</v>
      </c>
      <c r="Q117" s="43">
        <v>1.0000000000000001E-9</v>
      </c>
      <c r="R117" s="46">
        <v>1.5E-3</v>
      </c>
      <c r="S117" s="37">
        <v>0.51</v>
      </c>
      <c r="T117" s="37">
        <v>2.88</v>
      </c>
      <c r="U117" s="21">
        <v>3.24</v>
      </c>
      <c r="V117" s="21" t="s">
        <v>385</v>
      </c>
      <c r="W117" s="21"/>
      <c r="X117" s="21"/>
      <c r="Y117" s="21"/>
      <c r="Z117" s="21" t="s">
        <v>387</v>
      </c>
    </row>
    <row r="118" spans="1:26" x14ac:dyDescent="0.25">
      <c r="A118" s="38" t="s">
        <v>316</v>
      </c>
      <c r="B118" s="4" t="s">
        <v>284</v>
      </c>
      <c r="C118" s="4" t="s">
        <v>186</v>
      </c>
      <c r="D118" s="4" t="s">
        <v>326</v>
      </c>
      <c r="E118" s="6">
        <v>65</v>
      </c>
      <c r="F118" s="4">
        <v>100</v>
      </c>
      <c r="G118" s="4">
        <v>600</v>
      </c>
      <c r="H118" s="4">
        <v>400</v>
      </c>
      <c r="I118" s="4">
        <v>10</v>
      </c>
      <c r="J118" s="22">
        <v>15</v>
      </c>
      <c r="K118" s="30">
        <v>1.0000000000000001E-5</v>
      </c>
      <c r="L118" s="30">
        <v>4.0000000000000001E-8</v>
      </c>
      <c r="M118" s="51">
        <v>0.1</v>
      </c>
      <c r="N118" s="4">
        <v>48</v>
      </c>
      <c r="O118" s="25">
        <v>4890000</v>
      </c>
      <c r="P118" s="15">
        <v>2.78</v>
      </c>
      <c r="Q118" s="43">
        <v>1.0000000000000001E-9</v>
      </c>
      <c r="R118" s="46">
        <v>1E-3</v>
      </c>
      <c r="S118" s="37">
        <v>0.27600000000000002</v>
      </c>
      <c r="T118" s="37">
        <v>3.57</v>
      </c>
      <c r="U118" s="21">
        <v>3.7</v>
      </c>
      <c r="V118" s="21" t="s">
        <v>384</v>
      </c>
      <c r="W118" s="21"/>
      <c r="X118" s="21"/>
      <c r="Y118" s="21"/>
      <c r="Z118" s="21" t="s">
        <v>388</v>
      </c>
    </row>
    <row r="119" spans="1:26" x14ac:dyDescent="0.25">
      <c r="A119" s="38" t="s">
        <v>317</v>
      </c>
      <c r="B119" s="4" t="s">
        <v>284</v>
      </c>
      <c r="C119" s="4" t="s">
        <v>186</v>
      </c>
      <c r="D119" s="4" t="s">
        <v>326</v>
      </c>
      <c r="E119" s="6">
        <v>65</v>
      </c>
      <c r="F119" s="4">
        <v>100</v>
      </c>
      <c r="G119" s="4">
        <v>600</v>
      </c>
      <c r="H119" s="4">
        <v>400</v>
      </c>
      <c r="I119" s="4">
        <v>10</v>
      </c>
      <c r="J119" s="22">
        <v>15</v>
      </c>
      <c r="K119" s="30">
        <v>1.0000000000000001E-5</v>
      </c>
      <c r="L119" s="30">
        <v>4.0000000000000001E-8</v>
      </c>
      <c r="M119" s="51">
        <v>0.5</v>
      </c>
      <c r="N119" s="4">
        <v>48</v>
      </c>
      <c r="O119" s="25">
        <v>4890000</v>
      </c>
      <c r="P119" s="15">
        <v>2.78</v>
      </c>
      <c r="Q119" s="43">
        <v>1.0000000000000001E-9</v>
      </c>
      <c r="R119" s="46">
        <v>5.0000000000000001E-4</v>
      </c>
      <c r="S119" s="37">
        <v>0.19</v>
      </c>
      <c r="T119" s="37">
        <v>8.94</v>
      </c>
      <c r="U119" s="21">
        <v>11.4</v>
      </c>
      <c r="V119" s="21" t="s">
        <v>386</v>
      </c>
      <c r="W119" s="21"/>
      <c r="X119" s="21"/>
      <c r="Y119" s="21"/>
      <c r="Z119" s="21" t="s">
        <v>391</v>
      </c>
    </row>
    <row r="120" spans="1:26" x14ac:dyDescent="0.25">
      <c r="A120" s="38" t="s">
        <v>318</v>
      </c>
      <c r="B120" s="4" t="s">
        <v>284</v>
      </c>
      <c r="C120" s="4" t="s">
        <v>186</v>
      </c>
      <c r="D120" s="4" t="s">
        <v>326</v>
      </c>
      <c r="E120" s="6">
        <v>65</v>
      </c>
      <c r="F120" s="4">
        <v>100</v>
      </c>
      <c r="G120" s="4">
        <v>600</v>
      </c>
      <c r="H120" s="4">
        <v>400</v>
      </c>
      <c r="I120" s="4">
        <v>10</v>
      </c>
      <c r="J120" s="22">
        <v>15</v>
      </c>
      <c r="K120" s="30">
        <v>1.0000000000000001E-5</v>
      </c>
      <c r="L120" s="30">
        <v>4.0000000000000001E-8</v>
      </c>
      <c r="M120" s="51">
        <v>0.75</v>
      </c>
      <c r="N120" s="4">
        <v>48</v>
      </c>
      <c r="O120" s="25">
        <v>4890000</v>
      </c>
      <c r="P120" s="15">
        <v>2.78</v>
      </c>
      <c r="Q120" s="43">
        <v>1.0000000000000001E-9</v>
      </c>
      <c r="R120" s="46">
        <v>5.0000000000000001E-4</v>
      </c>
      <c r="S120" s="37">
        <v>9.9299999999999999E-2</v>
      </c>
      <c r="T120" s="37">
        <v>15.83</v>
      </c>
      <c r="U120" s="21">
        <v>22.43</v>
      </c>
      <c r="V120" s="21" t="s">
        <v>389</v>
      </c>
      <c r="W120" s="21"/>
      <c r="X120" s="21"/>
      <c r="Y120" s="21"/>
      <c r="Z120" s="21" t="s">
        <v>391</v>
      </c>
    </row>
    <row r="121" spans="1:26" x14ac:dyDescent="0.25">
      <c r="A121" s="38" t="s">
        <v>319</v>
      </c>
      <c r="B121" s="4" t="s">
        <v>284</v>
      </c>
      <c r="C121" s="4" t="s">
        <v>186</v>
      </c>
      <c r="D121" s="4" t="s">
        <v>326</v>
      </c>
      <c r="E121" s="6">
        <v>65</v>
      </c>
      <c r="F121" s="4">
        <v>100</v>
      </c>
      <c r="G121" s="4">
        <v>600</v>
      </c>
      <c r="H121" s="4">
        <v>400</v>
      </c>
      <c r="I121" s="4">
        <v>10</v>
      </c>
      <c r="J121" s="22">
        <v>15</v>
      </c>
      <c r="K121" s="30">
        <v>1.0000000000000001E-5</v>
      </c>
      <c r="L121" s="30">
        <v>4.0000000000000001E-8</v>
      </c>
      <c r="M121" s="51">
        <v>0.9</v>
      </c>
      <c r="N121" s="4">
        <v>48</v>
      </c>
      <c r="O121" s="25">
        <v>4890000</v>
      </c>
      <c r="P121" s="15">
        <v>2.78</v>
      </c>
      <c r="Q121" s="43">
        <v>1.0000000000000001E-9</v>
      </c>
      <c r="R121" s="46">
        <v>5.0000000000000001E-4</v>
      </c>
      <c r="S121" s="37">
        <v>6.6199999999999995E-2</v>
      </c>
      <c r="T121" s="37">
        <v>24.76</v>
      </c>
      <c r="U121" s="21">
        <v>34.47</v>
      </c>
      <c r="V121" s="21" t="s">
        <v>390</v>
      </c>
      <c r="W121" s="21"/>
      <c r="X121" s="21"/>
      <c r="Y121" s="21"/>
      <c r="Z121" s="21" t="s">
        <v>392</v>
      </c>
    </row>
    <row r="122" spans="1:26" x14ac:dyDescent="0.25">
      <c r="A122" s="38" t="s">
        <v>342</v>
      </c>
      <c r="B122" s="4" t="s">
        <v>284</v>
      </c>
      <c r="C122" s="4" t="s">
        <v>186</v>
      </c>
      <c r="D122" s="4" t="s">
        <v>326</v>
      </c>
      <c r="E122" s="6">
        <v>65</v>
      </c>
      <c r="F122" s="4">
        <v>100</v>
      </c>
      <c r="G122" s="4">
        <v>600</v>
      </c>
      <c r="H122" s="4">
        <v>400</v>
      </c>
      <c r="I122" s="4">
        <v>10</v>
      </c>
      <c r="J122" s="22">
        <v>15</v>
      </c>
      <c r="K122" s="30">
        <v>1.0000000000000001E-5</v>
      </c>
      <c r="L122" s="30">
        <v>4.0000000000000001E-8</v>
      </c>
      <c r="M122" s="51">
        <v>0.9</v>
      </c>
      <c r="N122" s="4">
        <v>48</v>
      </c>
      <c r="O122" s="25">
        <v>4890000</v>
      </c>
      <c r="P122" s="15">
        <v>2.78</v>
      </c>
      <c r="Q122" s="43">
        <v>1.0000000000000001E-9</v>
      </c>
      <c r="R122" s="46">
        <v>2.5999999999999998E-4</v>
      </c>
      <c r="S122" s="69">
        <v>6.2061999999999999E-2</v>
      </c>
      <c r="T122" s="69">
        <v>11.25</v>
      </c>
      <c r="U122" s="40">
        <v>11.91</v>
      </c>
      <c r="V122" s="40">
        <v>0.147955</v>
      </c>
      <c r="W122" s="40"/>
      <c r="X122" s="40"/>
      <c r="Y122" s="40"/>
      <c r="Z122" s="21" t="s">
        <v>469</v>
      </c>
    </row>
    <row r="123" spans="1:26" x14ac:dyDescent="0.25">
      <c r="A123" s="38" t="s">
        <v>330</v>
      </c>
      <c r="B123" s="4" t="s">
        <v>284</v>
      </c>
      <c r="C123" s="4" t="s">
        <v>186</v>
      </c>
      <c r="D123" s="4" t="s">
        <v>326</v>
      </c>
      <c r="E123" s="6">
        <v>65</v>
      </c>
      <c r="F123" s="4">
        <v>100</v>
      </c>
      <c r="G123" s="4">
        <v>600</v>
      </c>
      <c r="H123" s="4">
        <v>400</v>
      </c>
      <c r="I123" s="4">
        <v>10</v>
      </c>
      <c r="J123" s="22">
        <v>15</v>
      </c>
      <c r="K123" s="30">
        <v>1.0000000000000001E-5</v>
      </c>
      <c r="L123" s="30">
        <v>9.9999999999999995E-7</v>
      </c>
      <c r="M123" s="51">
        <v>0.01</v>
      </c>
      <c r="N123" s="4">
        <v>48</v>
      </c>
      <c r="O123" s="25">
        <v>4890000</v>
      </c>
      <c r="P123" s="15">
        <v>2.78</v>
      </c>
      <c r="Q123" s="43">
        <v>1.0000000000000001E-9</v>
      </c>
      <c r="R123" s="46">
        <v>1.5E-3</v>
      </c>
      <c r="S123" s="61">
        <v>0.29199999999999998</v>
      </c>
      <c r="T123" s="61">
        <v>11.56</v>
      </c>
      <c r="U123">
        <v>4.6900000000000004</v>
      </c>
      <c r="V123" t="s">
        <v>329</v>
      </c>
      <c r="Z123" t="s">
        <v>380</v>
      </c>
    </row>
    <row r="124" spans="1:26" x14ac:dyDescent="0.25">
      <c r="A124" s="38" t="s">
        <v>331</v>
      </c>
      <c r="B124" s="4" t="s">
        <v>284</v>
      </c>
      <c r="C124" s="4" t="s">
        <v>186</v>
      </c>
      <c r="D124" s="4" t="s">
        <v>326</v>
      </c>
      <c r="E124" s="6">
        <v>65</v>
      </c>
      <c r="F124" s="4">
        <v>100</v>
      </c>
      <c r="G124" s="4">
        <v>600</v>
      </c>
      <c r="H124" s="4">
        <v>400</v>
      </c>
      <c r="I124" s="4">
        <v>10</v>
      </c>
      <c r="J124" s="22">
        <v>15</v>
      </c>
      <c r="K124" s="30">
        <v>1.0000000000000001E-5</v>
      </c>
      <c r="L124" s="30">
        <v>9.9999999999999995E-7</v>
      </c>
      <c r="M124" s="51">
        <v>0.1</v>
      </c>
      <c r="N124" s="4">
        <v>48</v>
      </c>
      <c r="O124" s="25">
        <v>4890000</v>
      </c>
      <c r="P124" s="15">
        <v>2.78</v>
      </c>
      <c r="Q124" s="43">
        <v>1.0000000000000001E-9</v>
      </c>
      <c r="R124" s="46">
        <v>1E-3</v>
      </c>
      <c r="S124" s="28">
        <v>0.22</v>
      </c>
      <c r="T124" s="28">
        <v>7.17</v>
      </c>
      <c r="U124">
        <v>7.38</v>
      </c>
      <c r="V124" t="s">
        <v>381</v>
      </c>
      <c r="Z124" t="s">
        <v>405</v>
      </c>
    </row>
    <row r="125" spans="1:26" x14ac:dyDescent="0.25">
      <c r="A125" s="38" t="s">
        <v>332</v>
      </c>
      <c r="B125" s="4" t="s">
        <v>284</v>
      </c>
      <c r="C125" s="4" t="s">
        <v>186</v>
      </c>
      <c r="D125" s="4" t="s">
        <v>326</v>
      </c>
      <c r="E125" s="6">
        <v>65</v>
      </c>
      <c r="F125" s="4">
        <v>100</v>
      </c>
      <c r="G125" s="4">
        <v>600</v>
      </c>
      <c r="H125" s="4">
        <v>400</v>
      </c>
      <c r="I125" s="4">
        <v>10</v>
      </c>
      <c r="J125" s="22">
        <v>15</v>
      </c>
      <c r="K125" s="30">
        <v>1.0000000000000001E-5</v>
      </c>
      <c r="L125" s="30">
        <v>9.9999999999999995E-7</v>
      </c>
      <c r="M125" s="51">
        <v>0.5</v>
      </c>
      <c r="N125" s="4">
        <v>48</v>
      </c>
      <c r="O125" s="25">
        <v>4890000</v>
      </c>
      <c r="P125" s="15">
        <v>2.78</v>
      </c>
      <c r="Q125" s="43">
        <v>1.0000000000000001E-9</v>
      </c>
      <c r="R125" s="46">
        <v>5.0000000000000001E-4</v>
      </c>
      <c r="S125" s="61">
        <v>0.14899999999999999</v>
      </c>
      <c r="T125" s="61">
        <v>22.63</v>
      </c>
      <c r="U125">
        <v>33.630000000000003</v>
      </c>
      <c r="V125" t="s">
        <v>382</v>
      </c>
      <c r="Z125" t="s">
        <v>416</v>
      </c>
    </row>
    <row r="126" spans="1:26" x14ac:dyDescent="0.25">
      <c r="A126" s="38" t="s">
        <v>333</v>
      </c>
      <c r="B126" s="4" t="s">
        <v>284</v>
      </c>
      <c r="C126" s="4" t="s">
        <v>186</v>
      </c>
      <c r="D126" s="4" t="s">
        <v>326</v>
      </c>
      <c r="E126" s="6">
        <v>65</v>
      </c>
      <c r="F126" s="4">
        <v>100</v>
      </c>
      <c r="G126" s="4">
        <v>600</v>
      </c>
      <c r="H126" s="4">
        <v>400</v>
      </c>
      <c r="I126" s="4">
        <v>10</v>
      </c>
      <c r="J126" s="22">
        <v>15</v>
      </c>
      <c r="K126" s="30">
        <v>1.0000000000000001E-5</v>
      </c>
      <c r="L126" s="30">
        <v>9.9999999999999995E-7</v>
      </c>
      <c r="M126" s="51">
        <v>0.75</v>
      </c>
      <c r="N126" s="4">
        <v>48</v>
      </c>
      <c r="O126" s="25">
        <v>4890000</v>
      </c>
      <c r="P126" s="15">
        <v>2.78</v>
      </c>
      <c r="Q126" s="43">
        <v>1.0000000000000001E-9</v>
      </c>
      <c r="R126" s="46">
        <v>5.0000000000000001E-4</v>
      </c>
      <c r="S126" s="61">
        <v>9.9000000000000005E-2</v>
      </c>
      <c r="T126" s="61">
        <v>26.65</v>
      </c>
      <c r="U126">
        <v>35.44</v>
      </c>
      <c r="V126" t="s">
        <v>328</v>
      </c>
      <c r="Z126" t="s">
        <v>417</v>
      </c>
    </row>
    <row r="127" spans="1:26" x14ac:dyDescent="0.25">
      <c r="A127" s="38" t="s">
        <v>491</v>
      </c>
      <c r="B127" s="4" t="s">
        <v>284</v>
      </c>
      <c r="C127" s="4" t="s">
        <v>186</v>
      </c>
      <c r="D127" s="4" t="s">
        <v>326</v>
      </c>
      <c r="E127" s="6">
        <v>65</v>
      </c>
      <c r="F127" s="4">
        <v>100</v>
      </c>
      <c r="G127" s="4">
        <v>600</v>
      </c>
      <c r="H127" s="4">
        <v>400</v>
      </c>
      <c r="I127" s="4">
        <v>10</v>
      </c>
      <c r="J127" s="22">
        <v>15</v>
      </c>
      <c r="K127" s="30">
        <v>1.0000000000000001E-5</v>
      </c>
      <c r="L127" s="30">
        <v>9.9999999999999995E-7</v>
      </c>
      <c r="M127" s="51">
        <v>0.75</v>
      </c>
      <c r="N127" s="4">
        <v>48</v>
      </c>
      <c r="O127" s="25">
        <v>4890000</v>
      </c>
      <c r="P127" s="15">
        <v>2.78</v>
      </c>
      <c r="Q127" s="43">
        <v>1.0000000000000001E-9</v>
      </c>
      <c r="R127" s="46">
        <v>5.0000000000000001E-4</v>
      </c>
      <c r="S127" s="37">
        <v>9.9678000000000003E-2</v>
      </c>
      <c r="T127" s="37">
        <v>26.67</v>
      </c>
      <c r="U127" s="21">
        <v>35.44</v>
      </c>
      <c r="V127" s="21">
        <v>0.15660099999999999</v>
      </c>
      <c r="W127" s="21"/>
      <c r="X127" s="21"/>
      <c r="Y127" s="21"/>
      <c r="Z127" t="s">
        <v>492</v>
      </c>
    </row>
    <row r="128" spans="1:26" x14ac:dyDescent="0.25">
      <c r="A128" s="38" t="s">
        <v>334</v>
      </c>
      <c r="B128" s="4" t="s">
        <v>284</v>
      </c>
      <c r="C128" s="4" t="s">
        <v>186</v>
      </c>
      <c r="D128" s="4" t="s">
        <v>326</v>
      </c>
      <c r="E128" s="6">
        <v>65</v>
      </c>
      <c r="F128" s="4">
        <v>100</v>
      </c>
      <c r="G128" s="4">
        <v>600</v>
      </c>
      <c r="H128" s="4">
        <v>400</v>
      </c>
      <c r="I128" s="4">
        <v>10</v>
      </c>
      <c r="J128" s="22">
        <v>15</v>
      </c>
      <c r="K128" s="30">
        <v>1.0000000000000001E-5</v>
      </c>
      <c r="L128" s="30">
        <v>9.9999999999999995E-7</v>
      </c>
      <c r="M128" s="51">
        <v>0.9</v>
      </c>
      <c r="N128" s="4">
        <v>48</v>
      </c>
      <c r="O128" s="25">
        <v>4890000</v>
      </c>
      <c r="P128" s="15">
        <v>2.78</v>
      </c>
      <c r="Q128" s="43">
        <v>1.0000000000000001E-9</v>
      </c>
      <c r="R128" s="46">
        <v>5.0000000000000001E-4</v>
      </c>
      <c r="S128" s="37">
        <v>6.3677999999999998E-2</v>
      </c>
      <c r="T128" s="37">
        <v>80.22</v>
      </c>
      <c r="U128" s="21">
        <v>105.17</v>
      </c>
      <c r="V128" s="21" t="s">
        <v>390</v>
      </c>
      <c r="W128" s="21"/>
      <c r="X128" s="21"/>
      <c r="Y128" s="21"/>
      <c r="Z128" t="s">
        <v>383</v>
      </c>
    </row>
    <row r="129" spans="1:26" x14ac:dyDescent="0.25">
      <c r="A129" s="38" t="s">
        <v>470</v>
      </c>
      <c r="B129" s="4" t="s">
        <v>284</v>
      </c>
      <c r="C129" s="4" t="s">
        <v>186</v>
      </c>
      <c r="D129" s="4" t="s">
        <v>326</v>
      </c>
      <c r="E129" s="6">
        <v>65</v>
      </c>
      <c r="F129" s="4">
        <v>100</v>
      </c>
      <c r="G129" s="4">
        <v>600</v>
      </c>
      <c r="H129" s="4">
        <v>400</v>
      </c>
      <c r="I129" s="4">
        <v>10</v>
      </c>
      <c r="J129" s="22">
        <v>15</v>
      </c>
      <c r="K129" s="30">
        <v>1.0000000000000001E-5</v>
      </c>
      <c r="L129" s="30">
        <v>9.9999999999999995E-7</v>
      </c>
      <c r="M129" s="51">
        <v>0.9</v>
      </c>
      <c r="N129" s="4">
        <v>48</v>
      </c>
      <c r="O129" s="25">
        <v>4890000</v>
      </c>
      <c r="P129" s="15">
        <v>2.78</v>
      </c>
      <c r="Q129" s="43">
        <v>1.0000000000000001E-9</v>
      </c>
      <c r="R129" s="46">
        <v>1.4999999999999999E-4</v>
      </c>
      <c r="S129" s="37">
        <v>6.3927999999999999E-2</v>
      </c>
      <c r="T129" s="37">
        <v>14.7</v>
      </c>
      <c r="U129" s="21">
        <v>16.52</v>
      </c>
      <c r="V129" s="21">
        <v>0.145181</v>
      </c>
      <c r="W129" s="21"/>
      <c r="X129" s="21"/>
      <c r="Y129" s="21"/>
      <c r="Z129" t="s">
        <v>469</v>
      </c>
    </row>
    <row r="130" spans="1:26" x14ac:dyDescent="0.25">
      <c r="A130" s="34" t="s">
        <v>349</v>
      </c>
      <c r="B130" s="4" t="s">
        <v>284</v>
      </c>
      <c r="C130" s="4" t="s">
        <v>186</v>
      </c>
      <c r="D130" s="4" t="s">
        <v>326</v>
      </c>
      <c r="E130" s="6">
        <v>65</v>
      </c>
      <c r="F130" s="4">
        <v>100</v>
      </c>
      <c r="G130" s="4">
        <v>600</v>
      </c>
      <c r="H130" s="4">
        <v>400</v>
      </c>
      <c r="I130" s="4">
        <v>10</v>
      </c>
      <c r="J130" s="22">
        <v>15</v>
      </c>
      <c r="K130" s="30">
        <v>1.0000000000000001E-5</v>
      </c>
      <c r="L130" s="30">
        <v>1.5E-6</v>
      </c>
      <c r="M130" s="51">
        <v>0.9</v>
      </c>
      <c r="N130" s="4">
        <v>48</v>
      </c>
      <c r="O130" s="25">
        <v>4890000</v>
      </c>
      <c r="P130" s="15">
        <v>2.78</v>
      </c>
      <c r="Q130" s="43">
        <v>1.0000000000000001E-9</v>
      </c>
      <c r="R130" s="46">
        <v>5.0000000000000001E-4</v>
      </c>
      <c r="S130">
        <v>6.5000000000000002E-2</v>
      </c>
      <c r="T130">
        <v>31.33</v>
      </c>
      <c r="U130">
        <v>39.26</v>
      </c>
      <c r="V130" t="s">
        <v>329</v>
      </c>
      <c r="Z130" t="s">
        <v>406</v>
      </c>
    </row>
  </sheetData>
  <phoneticPr fontId="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gnWaveData">
                <anchor moveWithCells="1" sizeWithCells="1">
                  <from>
                    <xdr:col>20</xdr:col>
                    <xdr:colOff>400050</xdr:colOff>
                    <xdr:row>0</xdr:row>
                    <xdr:rowOff>28575</xdr:rowOff>
                  </from>
                  <to>
                    <xdr:col>21</xdr:col>
                    <xdr:colOff>495300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904B7-43D1-4DCA-88A3-717D5F8874BA}">
  <sheetPr codeName="Sheet11"/>
  <dimension ref="A1:Z82"/>
  <sheetViews>
    <sheetView zoomScaleNormal="100" workbookViewId="0">
      <pane xSplit="1" ySplit="2" topLeftCell="Q3" activePane="bottomRight" state="frozen"/>
      <selection pane="topRight" activeCell="B1" sqref="B1"/>
      <selection pane="bottomLeft" activeCell="A3" sqref="A3"/>
      <selection pane="bottomRight" activeCell="S15" sqref="S15"/>
    </sheetView>
  </sheetViews>
  <sheetFormatPr defaultRowHeight="15" x14ac:dyDescent="0.25"/>
  <cols>
    <col min="1" max="1" width="26.140625" bestFit="1" customWidth="1"/>
    <col min="2" max="2" width="11.85546875" customWidth="1"/>
    <col min="3" max="3" width="12.42578125" bestFit="1" customWidth="1"/>
    <col min="4" max="4" width="12.5703125" bestFit="1" customWidth="1"/>
    <col min="5" max="5" width="10.28515625" bestFit="1" customWidth="1"/>
    <col min="6" max="6" width="8.28515625" customWidth="1"/>
    <col min="7" max="7" width="8.140625" customWidth="1"/>
    <col min="8" max="8" width="14.85546875" bestFit="1" customWidth="1"/>
    <col min="9" max="9" width="10.85546875" bestFit="1" customWidth="1"/>
    <col min="12" max="12" width="10" bestFit="1" customWidth="1"/>
    <col min="13" max="13" width="10" customWidth="1"/>
    <col min="14" max="14" width="10.85546875" bestFit="1" customWidth="1"/>
    <col min="16" max="16" width="12.42578125" bestFit="1" customWidth="1"/>
    <col min="17" max="17" width="12.42578125" customWidth="1"/>
    <col min="18" max="18" width="12.42578125" style="3" customWidth="1"/>
    <col min="19" max="19" width="10.28515625" customWidth="1"/>
    <col min="21" max="21" width="13.28515625" bestFit="1" customWidth="1"/>
    <col min="22" max="25" width="9.7109375" customWidth="1"/>
    <col min="26" max="26" width="49.85546875" customWidth="1"/>
  </cols>
  <sheetData>
    <row r="1" spans="1:26" ht="18.75" x14ac:dyDescent="0.3">
      <c r="A1" s="20" t="s">
        <v>676</v>
      </c>
      <c r="B1" s="8" t="s">
        <v>43</v>
      </c>
      <c r="C1" s="8"/>
      <c r="D1" s="8"/>
      <c r="E1" s="3"/>
      <c r="F1" t="s">
        <v>7</v>
      </c>
      <c r="I1" t="s">
        <v>464</v>
      </c>
      <c r="N1" s="8"/>
      <c r="O1" s="8"/>
      <c r="P1" s="3" t="s">
        <v>146</v>
      </c>
      <c r="Q1" s="8"/>
      <c r="S1" t="s">
        <v>8</v>
      </c>
      <c r="T1" t="s">
        <v>378</v>
      </c>
      <c r="W1" s="12" t="s">
        <v>680</v>
      </c>
      <c r="X1" s="103" t="s">
        <v>681</v>
      </c>
    </row>
    <row r="2" spans="1:26" x14ac:dyDescent="0.25">
      <c r="A2" s="3" t="s">
        <v>0</v>
      </c>
      <c r="B2" s="8" t="s">
        <v>169</v>
      </c>
      <c r="C2" s="8" t="s">
        <v>461</v>
      </c>
      <c r="D2" s="8" t="s">
        <v>462</v>
      </c>
      <c r="E2" s="3" t="s">
        <v>463</v>
      </c>
      <c r="F2" s="8" t="s">
        <v>38</v>
      </c>
      <c r="G2" s="8" t="s">
        <v>39</v>
      </c>
      <c r="H2" t="s">
        <v>1</v>
      </c>
      <c r="I2" t="s">
        <v>195</v>
      </c>
      <c r="J2" t="s">
        <v>196</v>
      </c>
      <c r="K2" t="s">
        <v>241</v>
      </c>
      <c r="L2" t="s">
        <v>465</v>
      </c>
      <c r="M2" t="s">
        <v>323</v>
      </c>
      <c r="N2" t="s">
        <v>3</v>
      </c>
      <c r="O2" s="8" t="s">
        <v>4</v>
      </c>
      <c r="P2" s="3" t="s">
        <v>145</v>
      </c>
      <c r="Q2" s="4" t="s">
        <v>287</v>
      </c>
      <c r="R2" s="3" t="s">
        <v>288</v>
      </c>
      <c r="S2" s="4" t="s">
        <v>9</v>
      </c>
      <c r="T2" s="4" t="s">
        <v>10</v>
      </c>
      <c r="U2" s="4" t="s">
        <v>379</v>
      </c>
      <c r="V2" s="4" t="s">
        <v>57</v>
      </c>
      <c r="W2" s="4" t="s">
        <v>684</v>
      </c>
      <c r="X2" s="4" t="s">
        <v>628</v>
      </c>
      <c r="Y2" s="4" t="s">
        <v>583</v>
      </c>
      <c r="Z2" s="4" t="s">
        <v>21</v>
      </c>
    </row>
    <row r="3" spans="1:26" x14ac:dyDescent="0.25">
      <c r="A3" s="17" t="s">
        <v>466</v>
      </c>
      <c r="B3" s="8"/>
      <c r="C3" s="8"/>
      <c r="D3" s="8"/>
      <c r="E3" s="3"/>
      <c r="F3" s="8"/>
      <c r="G3" s="8"/>
      <c r="O3" s="8"/>
      <c r="P3" s="3"/>
      <c r="Q3" s="4"/>
      <c r="S3" s="4"/>
      <c r="T3" s="4"/>
      <c r="U3" s="4"/>
      <c r="V3" s="4"/>
      <c r="W3" s="4"/>
      <c r="X3" s="4"/>
      <c r="Y3" s="4"/>
      <c r="Z3" s="4"/>
    </row>
    <row r="4" spans="1:26" x14ac:dyDescent="0.25">
      <c r="A4" s="3" t="s">
        <v>538</v>
      </c>
      <c r="B4" s="8"/>
      <c r="C4" s="8"/>
      <c r="D4" s="8"/>
      <c r="E4" s="3"/>
      <c r="F4" s="8"/>
      <c r="G4" s="8"/>
      <c r="O4" s="8"/>
      <c r="P4" s="3"/>
      <c r="Q4" s="4"/>
      <c r="S4" s="4"/>
      <c r="T4" s="4"/>
      <c r="U4" s="4"/>
      <c r="V4" s="4"/>
      <c r="W4" s="4"/>
      <c r="X4" s="4"/>
      <c r="Y4" s="4"/>
      <c r="Z4" s="4"/>
    </row>
    <row r="5" spans="1:26" x14ac:dyDescent="0.25">
      <c r="A5" s="38">
        <v>1</v>
      </c>
      <c r="B5" s="4" t="s">
        <v>443</v>
      </c>
      <c r="C5" s="4" t="s">
        <v>186</v>
      </c>
      <c r="D5" s="4" t="s">
        <v>433</v>
      </c>
      <c r="E5" s="6">
        <v>65</v>
      </c>
      <c r="F5" s="4">
        <v>224</v>
      </c>
      <c r="G5" s="4">
        <v>1340</v>
      </c>
      <c r="H5" s="4">
        <v>400</v>
      </c>
      <c r="I5" s="4">
        <v>10</v>
      </c>
      <c r="J5" s="22">
        <v>40</v>
      </c>
      <c r="K5" s="30">
        <v>1.0000000000000001E-5</v>
      </c>
      <c r="L5" s="30">
        <v>4.0000000000000001E-8</v>
      </c>
      <c r="M5" s="51">
        <v>0.1</v>
      </c>
      <c r="N5" s="4">
        <v>48</v>
      </c>
      <c r="O5" s="25">
        <v>4890000</v>
      </c>
      <c r="P5" s="15">
        <v>2.78</v>
      </c>
      <c r="Q5" s="43" t="s">
        <v>677</v>
      </c>
      <c r="R5" s="46">
        <v>2E-3</v>
      </c>
      <c r="S5" s="104">
        <v>0.170265</v>
      </c>
      <c r="T5" s="37">
        <v>2.87</v>
      </c>
      <c r="U5" s="21">
        <v>2.9</v>
      </c>
      <c r="V5" s="21">
        <v>0.56954400000000005</v>
      </c>
      <c r="W5" s="37">
        <v>0.75</v>
      </c>
      <c r="X5" s="25">
        <f>M5^3/(1-M5)^2/72*L5^2/K5*101325/0.006</f>
        <v>4.6330589849108381E-8</v>
      </c>
      <c r="Y5" s="25"/>
      <c r="Z5" s="21"/>
    </row>
    <row r="6" spans="1:26" x14ac:dyDescent="0.25">
      <c r="A6" s="38">
        <v>2</v>
      </c>
      <c r="B6" s="4" t="s">
        <v>443</v>
      </c>
      <c r="C6" s="4" t="s">
        <v>186</v>
      </c>
      <c r="D6" s="4" t="s">
        <v>433</v>
      </c>
      <c r="E6" s="6">
        <v>65</v>
      </c>
      <c r="F6" s="4">
        <v>224</v>
      </c>
      <c r="G6" s="4">
        <v>1340</v>
      </c>
      <c r="H6" s="4">
        <v>400</v>
      </c>
      <c r="I6" s="4">
        <v>10</v>
      </c>
      <c r="J6" s="22">
        <v>40</v>
      </c>
      <c r="K6" s="30">
        <v>1.0000000000000001E-5</v>
      </c>
      <c r="L6" s="30">
        <v>4.0000000000000001E-8</v>
      </c>
      <c r="M6" s="51">
        <v>0.3</v>
      </c>
      <c r="N6" s="4">
        <v>48</v>
      </c>
      <c r="O6" s="25">
        <v>4890000</v>
      </c>
      <c r="P6" s="15">
        <v>2.78</v>
      </c>
      <c r="Q6" s="43" t="s">
        <v>675</v>
      </c>
      <c r="R6" s="46">
        <v>1.5E-3</v>
      </c>
      <c r="S6" s="71">
        <v>0.15767</v>
      </c>
      <c r="T6" s="37">
        <v>3.8</v>
      </c>
      <c r="U6" s="21">
        <v>3.84</v>
      </c>
      <c r="V6" s="21">
        <v>0.60608499999999998</v>
      </c>
      <c r="W6" s="33">
        <v>4.5599999999999996</v>
      </c>
      <c r="X6" s="25">
        <f t="shared" ref="X6:X48" si="0">M6^3/(1-M6)^2/72*L6^2/K6*101325/0.006</f>
        <v>2.0678571428571426E-6</v>
      </c>
      <c r="Y6" s="25"/>
      <c r="Z6" s="21"/>
    </row>
    <row r="7" spans="1:26" x14ac:dyDescent="0.25">
      <c r="A7" s="38">
        <v>3</v>
      </c>
      <c r="B7" s="4" t="s">
        <v>443</v>
      </c>
      <c r="C7" s="4" t="s">
        <v>186</v>
      </c>
      <c r="D7" s="4" t="s">
        <v>433</v>
      </c>
      <c r="E7" s="6">
        <v>65</v>
      </c>
      <c r="F7" s="4">
        <v>224</v>
      </c>
      <c r="G7" s="4">
        <v>1340</v>
      </c>
      <c r="H7" s="4">
        <v>400</v>
      </c>
      <c r="I7" s="4">
        <v>10</v>
      </c>
      <c r="J7" s="22">
        <v>40</v>
      </c>
      <c r="K7" s="30">
        <v>1.0000000000000001E-5</v>
      </c>
      <c r="L7" s="30">
        <v>4.0000000000000001E-8</v>
      </c>
      <c r="M7" s="51">
        <v>0.5</v>
      </c>
      <c r="N7" s="4">
        <v>48</v>
      </c>
      <c r="O7" s="25">
        <v>4890000</v>
      </c>
      <c r="P7" s="15">
        <v>2.78</v>
      </c>
      <c r="Q7" s="43" t="s">
        <v>675</v>
      </c>
      <c r="R7" s="46">
        <v>1.1999999999999999E-3</v>
      </c>
      <c r="S7" s="71">
        <v>0.129747</v>
      </c>
      <c r="T7" s="37">
        <v>5.03</v>
      </c>
      <c r="U7" s="21">
        <v>5.25</v>
      </c>
      <c r="V7" s="21">
        <v>0.56102200000000002</v>
      </c>
      <c r="W7" s="33">
        <v>4.7300000000000004</v>
      </c>
      <c r="X7" s="25">
        <f t="shared" si="0"/>
        <v>1.8763888888888886E-5</v>
      </c>
      <c r="Y7" s="25"/>
      <c r="Z7" s="21"/>
    </row>
    <row r="8" spans="1:26" x14ac:dyDescent="0.25">
      <c r="A8" s="38">
        <v>4</v>
      </c>
      <c r="B8" s="4" t="s">
        <v>443</v>
      </c>
      <c r="C8" s="4" t="s">
        <v>186</v>
      </c>
      <c r="D8" s="4" t="s">
        <v>433</v>
      </c>
      <c r="E8" s="6">
        <v>65</v>
      </c>
      <c r="F8" s="4">
        <v>224</v>
      </c>
      <c r="G8" s="4">
        <v>1340</v>
      </c>
      <c r="H8" s="4">
        <v>400</v>
      </c>
      <c r="I8" s="4">
        <v>10</v>
      </c>
      <c r="J8" s="22">
        <v>40</v>
      </c>
      <c r="K8" s="30">
        <v>1.0000000000000001E-5</v>
      </c>
      <c r="L8" s="30">
        <v>4.0000000000000001E-8</v>
      </c>
      <c r="M8" s="51">
        <v>0.7</v>
      </c>
      <c r="N8" s="4">
        <v>48</v>
      </c>
      <c r="O8" s="25">
        <v>4890000</v>
      </c>
      <c r="P8" s="15">
        <v>2.78</v>
      </c>
      <c r="Q8" s="43" t="s">
        <v>675</v>
      </c>
      <c r="R8" s="46">
        <v>8.0000000000000004E-4</v>
      </c>
      <c r="S8" s="71">
        <v>8.6804000000000006E-2</v>
      </c>
      <c r="T8" s="37">
        <v>7.04</v>
      </c>
      <c r="U8" s="21">
        <v>7.5</v>
      </c>
      <c r="V8" s="21">
        <v>0.50226300000000001</v>
      </c>
      <c r="W8" s="33">
        <v>4.75</v>
      </c>
      <c r="X8" s="25">
        <f t="shared" si="0"/>
        <v>1.4302253086419746E-4</v>
      </c>
      <c r="Y8" s="25"/>
      <c r="Z8" s="21" t="s">
        <v>678</v>
      </c>
    </row>
    <row r="9" spans="1:26" x14ac:dyDescent="0.25">
      <c r="A9" s="38">
        <v>5</v>
      </c>
      <c r="B9" s="4" t="s">
        <v>443</v>
      </c>
      <c r="C9" s="4" t="s">
        <v>186</v>
      </c>
      <c r="D9" s="4" t="s">
        <v>433</v>
      </c>
      <c r="E9" s="6">
        <v>65</v>
      </c>
      <c r="F9" s="4">
        <v>224</v>
      </c>
      <c r="G9" s="4">
        <v>1340</v>
      </c>
      <c r="H9" s="4">
        <v>400</v>
      </c>
      <c r="I9" s="4">
        <v>20</v>
      </c>
      <c r="J9" s="22">
        <v>40</v>
      </c>
      <c r="K9" s="30">
        <v>1.0000000000000001E-5</v>
      </c>
      <c r="L9" s="30">
        <v>4.0000000000000001E-8</v>
      </c>
      <c r="M9" s="51">
        <v>0.9</v>
      </c>
      <c r="N9" s="4">
        <v>48</v>
      </c>
      <c r="O9" s="25">
        <v>4890000</v>
      </c>
      <c r="P9" s="15">
        <v>2.78</v>
      </c>
      <c r="Q9" s="43" t="s">
        <v>675</v>
      </c>
      <c r="R9" s="46">
        <v>5.0000000000000001E-4</v>
      </c>
      <c r="S9" s="71">
        <v>6.5135999999999999E-2</v>
      </c>
      <c r="T9" s="37">
        <v>13.02</v>
      </c>
      <c r="U9" s="21">
        <v>13.77</v>
      </c>
      <c r="V9" s="21">
        <v>0.48333500000000001</v>
      </c>
      <c r="W9" s="37">
        <v>8.5</v>
      </c>
      <c r="X9" s="25">
        <f t="shared" si="0"/>
        <v>2.7357750000000011E-3</v>
      </c>
      <c r="Y9" s="25"/>
      <c r="Z9" s="21" t="s">
        <v>685</v>
      </c>
    </row>
    <row r="10" spans="1:26" x14ac:dyDescent="0.25">
      <c r="A10" s="16" t="s">
        <v>458</v>
      </c>
      <c r="B10" s="4"/>
      <c r="C10" s="4"/>
      <c r="D10" s="4"/>
      <c r="E10" s="6"/>
      <c r="F10" s="4"/>
      <c r="G10" s="4"/>
      <c r="H10" s="4"/>
      <c r="I10" s="21"/>
      <c r="J10" s="21"/>
      <c r="K10" s="21"/>
      <c r="L10" s="21"/>
      <c r="M10" s="21"/>
      <c r="N10" s="4"/>
      <c r="O10" s="23"/>
      <c r="P10" s="6"/>
      <c r="Q10" s="4"/>
      <c r="R10" s="6"/>
      <c r="S10" s="33"/>
      <c r="T10" s="33"/>
      <c r="U10" s="4"/>
      <c r="V10" s="21"/>
      <c r="W10" s="21"/>
      <c r="X10" s="21"/>
      <c r="Y10" s="21"/>
      <c r="Z10" s="21"/>
    </row>
    <row r="11" spans="1:26" x14ac:dyDescent="0.25">
      <c r="A11" s="38" t="s">
        <v>330</v>
      </c>
      <c r="B11" s="4" t="s">
        <v>443</v>
      </c>
      <c r="C11" s="4" t="s">
        <v>186</v>
      </c>
      <c r="D11" s="4" t="s">
        <v>433</v>
      </c>
      <c r="E11" s="6">
        <v>65</v>
      </c>
      <c r="F11" s="4">
        <v>224</v>
      </c>
      <c r="G11" s="4">
        <v>1340</v>
      </c>
      <c r="H11" s="4">
        <v>400</v>
      </c>
      <c r="I11" s="4">
        <v>10</v>
      </c>
      <c r="J11" s="22">
        <v>40</v>
      </c>
      <c r="K11" s="30">
        <v>1.0000000000000001E-5</v>
      </c>
      <c r="L11" s="30">
        <v>9.9999999999999995E-7</v>
      </c>
      <c r="M11" s="51">
        <v>0.1</v>
      </c>
      <c r="N11" s="4">
        <v>48</v>
      </c>
      <c r="O11" s="25">
        <v>4890000</v>
      </c>
      <c r="P11" s="15">
        <v>2.78</v>
      </c>
      <c r="Q11" s="43" t="s">
        <v>687</v>
      </c>
      <c r="R11" s="46">
        <v>1.5E-3</v>
      </c>
      <c r="S11" s="71">
        <v>0.29987900000000001</v>
      </c>
      <c r="T11" s="37">
        <v>5.34</v>
      </c>
      <c r="U11">
        <v>6.77</v>
      </c>
      <c r="V11">
        <v>0.40663700000000003</v>
      </c>
      <c r="W11" s="37">
        <v>5.5</v>
      </c>
      <c r="X11" s="25">
        <f t="shared" si="0"/>
        <v>2.8956618655692734E-5</v>
      </c>
      <c r="Y11" s="2"/>
      <c r="Z11" t="s">
        <v>678</v>
      </c>
    </row>
    <row r="12" spans="1:26" x14ac:dyDescent="0.25">
      <c r="A12" s="38" t="s">
        <v>331</v>
      </c>
      <c r="B12" s="4" t="s">
        <v>443</v>
      </c>
      <c r="C12" s="4" t="s">
        <v>186</v>
      </c>
      <c r="D12" s="4" t="s">
        <v>433</v>
      </c>
      <c r="E12" s="6">
        <v>65</v>
      </c>
      <c r="F12" s="4">
        <v>224</v>
      </c>
      <c r="G12" s="4">
        <v>1340</v>
      </c>
      <c r="H12" s="4">
        <v>400</v>
      </c>
      <c r="I12" s="4">
        <v>10</v>
      </c>
      <c r="J12" s="22">
        <v>40</v>
      </c>
      <c r="K12" s="30">
        <v>1.0000000000000001E-5</v>
      </c>
      <c r="L12" s="30">
        <v>9.9999999999999995E-7</v>
      </c>
      <c r="M12" s="51">
        <v>0.3</v>
      </c>
      <c r="N12" s="4">
        <v>48</v>
      </c>
      <c r="O12" s="25">
        <v>4890000</v>
      </c>
      <c r="P12" s="15">
        <v>2.78</v>
      </c>
      <c r="Q12" s="43" t="s">
        <v>675</v>
      </c>
      <c r="R12" s="46">
        <v>1E-3</v>
      </c>
      <c r="S12" s="71">
        <v>0.15620200000000001</v>
      </c>
      <c r="T12" s="37">
        <v>6.83</v>
      </c>
      <c r="U12">
        <v>8.59</v>
      </c>
      <c r="V12">
        <v>0.52647299999999997</v>
      </c>
      <c r="W12" s="28">
        <v>18.37</v>
      </c>
      <c r="X12" s="25">
        <f t="shared" si="0"/>
        <v>1.2924107142857143E-3</v>
      </c>
      <c r="Y12" s="2"/>
      <c r="Z12" t="s">
        <v>678</v>
      </c>
    </row>
    <row r="13" spans="1:26" x14ac:dyDescent="0.25">
      <c r="A13" s="38" t="s">
        <v>332</v>
      </c>
      <c r="B13" s="4" t="s">
        <v>443</v>
      </c>
      <c r="C13" s="4" t="s">
        <v>186</v>
      </c>
      <c r="D13" s="4" t="s">
        <v>433</v>
      </c>
      <c r="E13" s="6">
        <v>65</v>
      </c>
      <c r="F13" s="4">
        <v>224</v>
      </c>
      <c r="G13" s="4">
        <v>1340</v>
      </c>
      <c r="H13" s="4">
        <v>400</v>
      </c>
      <c r="I13" s="4">
        <v>10</v>
      </c>
      <c r="J13" s="22">
        <v>40</v>
      </c>
      <c r="K13" s="30">
        <v>1.0000000000000001E-5</v>
      </c>
      <c r="L13" s="30">
        <v>9.9999999999999995E-7</v>
      </c>
      <c r="M13" s="51">
        <v>0.5</v>
      </c>
      <c r="N13" s="4">
        <v>48</v>
      </c>
      <c r="O13" s="25">
        <v>4890000</v>
      </c>
      <c r="P13" s="15">
        <v>2.78</v>
      </c>
      <c r="Q13" s="43" t="s">
        <v>675</v>
      </c>
      <c r="R13" s="46">
        <v>8.0000000000000004E-4</v>
      </c>
      <c r="S13" s="71">
        <v>0.15404000000000001</v>
      </c>
      <c r="T13" s="61">
        <v>8.25</v>
      </c>
      <c r="U13" s="21">
        <v>8.49</v>
      </c>
      <c r="V13" s="21">
        <v>0.51378000000000001</v>
      </c>
      <c r="W13" s="37">
        <v>28.22</v>
      </c>
      <c r="X13" s="25">
        <f t="shared" si="0"/>
        <v>1.1727430555555552E-2</v>
      </c>
      <c r="Y13" s="25"/>
      <c r="Z13" t="s">
        <v>696</v>
      </c>
    </row>
    <row r="14" spans="1:26" x14ac:dyDescent="0.25">
      <c r="A14" s="38" t="s">
        <v>333</v>
      </c>
      <c r="B14" s="4" t="s">
        <v>443</v>
      </c>
      <c r="C14" s="4" t="s">
        <v>186</v>
      </c>
      <c r="D14" s="4" t="s">
        <v>433</v>
      </c>
      <c r="E14" s="6">
        <v>65</v>
      </c>
      <c r="F14" s="4">
        <v>224</v>
      </c>
      <c r="G14" s="4">
        <v>1340</v>
      </c>
      <c r="H14" s="4">
        <v>400</v>
      </c>
      <c r="I14" s="4">
        <v>10</v>
      </c>
      <c r="J14" s="22">
        <v>40</v>
      </c>
      <c r="K14" s="30">
        <v>1.0000000000000001E-5</v>
      </c>
      <c r="L14" s="30">
        <v>9.9999999999999995E-7</v>
      </c>
      <c r="M14" s="51">
        <v>0.7</v>
      </c>
      <c r="N14" s="4">
        <v>48</v>
      </c>
      <c r="O14" s="25">
        <v>4890000</v>
      </c>
      <c r="P14" s="15">
        <v>2.78</v>
      </c>
      <c r="Q14" s="43" t="s">
        <v>675</v>
      </c>
      <c r="R14" s="46">
        <v>5.9999999999999995E-4</v>
      </c>
      <c r="S14" s="71">
        <v>0.11720800000000001</v>
      </c>
      <c r="T14" s="61">
        <v>10.7</v>
      </c>
      <c r="U14" s="21">
        <v>10.93</v>
      </c>
      <c r="V14" s="21">
        <v>2.0535999999999999</v>
      </c>
      <c r="W14" s="37">
        <v>44</v>
      </c>
      <c r="X14" s="25">
        <f t="shared" si="0"/>
        <v>8.9389081790123406E-2</v>
      </c>
      <c r="Y14" s="25"/>
      <c r="Z14" t="s">
        <v>697</v>
      </c>
    </row>
    <row r="15" spans="1:26" x14ac:dyDescent="0.25">
      <c r="A15" s="38" t="s">
        <v>334</v>
      </c>
      <c r="B15" s="4" t="s">
        <v>443</v>
      </c>
      <c r="C15" s="4" t="s">
        <v>186</v>
      </c>
      <c r="D15" s="4" t="s">
        <v>433</v>
      </c>
      <c r="E15" s="6">
        <v>65</v>
      </c>
      <c r="F15" s="4">
        <v>224</v>
      </c>
      <c r="G15" s="4">
        <v>1340</v>
      </c>
      <c r="H15" s="4">
        <v>400</v>
      </c>
      <c r="I15" s="4">
        <v>20</v>
      </c>
      <c r="J15" s="22">
        <v>40</v>
      </c>
      <c r="K15" s="30">
        <v>1.0000000000000001E-5</v>
      </c>
      <c r="L15" s="30">
        <v>9.9999999999999995E-7</v>
      </c>
      <c r="M15" s="51">
        <v>0.9</v>
      </c>
      <c r="N15" s="4">
        <v>48</v>
      </c>
      <c r="O15" s="25">
        <v>4890000</v>
      </c>
      <c r="P15" s="15">
        <v>2.78</v>
      </c>
      <c r="Q15" s="43" t="s">
        <v>675</v>
      </c>
      <c r="R15" s="46">
        <v>3.2000000000000003E-4</v>
      </c>
      <c r="S15" s="71">
        <v>7.6276999999999998E-2</v>
      </c>
      <c r="T15" s="61">
        <v>17.600000000000001</v>
      </c>
      <c r="U15" s="21">
        <v>17.989999999999998</v>
      </c>
      <c r="V15" s="21">
        <v>0.47383999999999998</v>
      </c>
      <c r="W15" s="37">
        <v>48</v>
      </c>
      <c r="X15" s="25">
        <f t="shared" si="0"/>
        <v>1.7098593750000008</v>
      </c>
      <c r="Y15" s="25"/>
      <c r="Z15" t="s">
        <v>698</v>
      </c>
    </row>
    <row r="16" spans="1:26" x14ac:dyDescent="0.25">
      <c r="A16" s="38" t="s">
        <v>622</v>
      </c>
      <c r="B16" s="4" t="s">
        <v>443</v>
      </c>
      <c r="C16" s="4" t="s">
        <v>186</v>
      </c>
      <c r="D16" s="4" t="s">
        <v>433</v>
      </c>
      <c r="E16" s="6">
        <v>65</v>
      </c>
      <c r="F16" s="4">
        <v>224</v>
      </c>
      <c r="G16" s="4">
        <v>1340</v>
      </c>
      <c r="H16" s="4">
        <v>400</v>
      </c>
      <c r="I16" s="4">
        <v>10</v>
      </c>
      <c r="J16" s="22">
        <v>40</v>
      </c>
      <c r="K16" s="30">
        <v>1.0000000000000001E-5</v>
      </c>
      <c r="L16" s="30">
        <v>9.9999999999999995E-8</v>
      </c>
      <c r="M16" s="51">
        <v>0.1</v>
      </c>
      <c r="N16" s="4">
        <v>48</v>
      </c>
      <c r="O16" s="25">
        <v>4890000</v>
      </c>
      <c r="P16" s="15">
        <v>2.78</v>
      </c>
      <c r="Q16" s="43" t="s">
        <v>675</v>
      </c>
      <c r="R16" s="46">
        <v>1.5E-3</v>
      </c>
      <c r="S16" s="71">
        <v>0.18291299999999999</v>
      </c>
      <c r="T16" s="37">
        <v>3.25</v>
      </c>
      <c r="U16" s="21">
        <v>3.26</v>
      </c>
      <c r="V16" s="21">
        <v>0.58153299999999997</v>
      </c>
      <c r="W16" s="4">
        <v>3.55</v>
      </c>
      <c r="X16" s="25">
        <f t="shared" si="0"/>
        <v>2.8956618655692734E-7</v>
      </c>
      <c r="Y16" s="21"/>
    </row>
    <row r="17" spans="1:26" x14ac:dyDescent="0.25">
      <c r="A17" s="38" t="s">
        <v>623</v>
      </c>
      <c r="B17" s="4" t="s">
        <v>443</v>
      </c>
      <c r="C17" s="4" t="s">
        <v>186</v>
      </c>
      <c r="D17" s="4" t="s">
        <v>433</v>
      </c>
      <c r="E17" s="6">
        <v>65</v>
      </c>
      <c r="F17" s="4">
        <v>224</v>
      </c>
      <c r="G17" s="4">
        <v>1340</v>
      </c>
      <c r="H17" s="4">
        <v>400</v>
      </c>
      <c r="I17" s="4">
        <v>10</v>
      </c>
      <c r="J17" s="22">
        <v>40</v>
      </c>
      <c r="K17" s="30">
        <v>1.0000000000000001E-5</v>
      </c>
      <c r="L17" s="30">
        <v>9.9999999999999995E-8</v>
      </c>
      <c r="M17" s="51">
        <v>0.3</v>
      </c>
      <c r="N17" s="4">
        <v>48</v>
      </c>
      <c r="O17" s="25">
        <v>4890000</v>
      </c>
      <c r="P17" s="15">
        <v>2.78</v>
      </c>
      <c r="Q17" s="43" t="s">
        <v>675</v>
      </c>
      <c r="R17" s="46">
        <v>1.5E-3</v>
      </c>
      <c r="S17" s="71">
        <v>0.157079</v>
      </c>
      <c r="T17" s="61">
        <v>4.6500000000000004</v>
      </c>
      <c r="U17" s="21">
        <v>6.45</v>
      </c>
      <c r="V17" s="21">
        <v>0.48979800000000001</v>
      </c>
      <c r="W17" s="21"/>
      <c r="X17" s="25">
        <f t="shared" si="0"/>
        <v>1.2924107142857139E-5</v>
      </c>
      <c r="Y17" s="21"/>
      <c r="Z17" t="s">
        <v>682</v>
      </c>
    </row>
    <row r="18" spans="1:26" x14ac:dyDescent="0.25">
      <c r="A18" s="38" t="s">
        <v>624</v>
      </c>
      <c r="B18" s="4" t="s">
        <v>443</v>
      </c>
      <c r="C18" s="4" t="s">
        <v>186</v>
      </c>
      <c r="D18" s="4" t="s">
        <v>433</v>
      </c>
      <c r="E18" s="6">
        <v>65</v>
      </c>
      <c r="F18" s="4">
        <v>224</v>
      </c>
      <c r="G18" s="4">
        <v>1340</v>
      </c>
      <c r="H18" s="4">
        <v>400</v>
      </c>
      <c r="I18" s="4">
        <v>10</v>
      </c>
      <c r="J18" s="22">
        <v>40</v>
      </c>
      <c r="K18" s="30">
        <v>1.0000000000000001E-5</v>
      </c>
      <c r="L18" s="30">
        <v>9.9999999999999995E-8</v>
      </c>
      <c r="M18" s="51">
        <v>0.5</v>
      </c>
      <c r="N18" s="4">
        <v>48</v>
      </c>
      <c r="O18" s="25">
        <v>4890000</v>
      </c>
      <c r="P18" s="15">
        <v>2.78</v>
      </c>
      <c r="Q18" s="43" t="s">
        <v>675</v>
      </c>
      <c r="R18" s="46">
        <v>1E-3</v>
      </c>
      <c r="S18" s="71">
        <v>0.13001099999999999</v>
      </c>
      <c r="T18" s="37">
        <v>6.46</v>
      </c>
      <c r="U18" s="21">
        <v>6.77</v>
      </c>
      <c r="V18" s="21">
        <v>0.63831499999999997</v>
      </c>
      <c r="W18" s="21">
        <v>5.64</v>
      </c>
      <c r="X18" s="25">
        <f t="shared" si="0"/>
        <v>1.1727430555555551E-4</v>
      </c>
      <c r="Y18" s="21"/>
      <c r="Z18" t="s">
        <v>688</v>
      </c>
    </row>
    <row r="19" spans="1:26" x14ac:dyDescent="0.25">
      <c r="A19" s="38" t="s">
        <v>625</v>
      </c>
      <c r="B19" s="4" t="s">
        <v>443</v>
      </c>
      <c r="C19" s="4" t="s">
        <v>186</v>
      </c>
      <c r="D19" s="4" t="s">
        <v>433</v>
      </c>
      <c r="E19" s="6">
        <v>65</v>
      </c>
      <c r="F19" s="4">
        <v>224</v>
      </c>
      <c r="G19" s="4">
        <v>1340</v>
      </c>
      <c r="H19" s="4">
        <v>400</v>
      </c>
      <c r="I19" s="4">
        <v>10</v>
      </c>
      <c r="J19" s="22">
        <v>40</v>
      </c>
      <c r="K19" s="30">
        <v>1.0000000000000001E-5</v>
      </c>
      <c r="L19" s="30">
        <v>9.9999999999999995E-8</v>
      </c>
      <c r="M19" s="51">
        <v>0.7</v>
      </c>
      <c r="N19" s="4">
        <v>48</v>
      </c>
      <c r="O19" s="25">
        <v>4890000</v>
      </c>
      <c r="P19" s="15">
        <v>2.78</v>
      </c>
      <c r="Q19" s="43" t="s">
        <v>675</v>
      </c>
      <c r="R19" s="46">
        <v>8.0000000000000004E-4</v>
      </c>
      <c r="S19" s="71">
        <v>8.8569999999999996E-2</v>
      </c>
      <c r="T19" s="37">
        <v>8.6300000000000008</v>
      </c>
      <c r="U19" s="21">
        <v>12.6</v>
      </c>
      <c r="V19" s="21">
        <v>0.52551499999999995</v>
      </c>
      <c r="W19" s="21">
        <v>7.5</v>
      </c>
      <c r="X19" s="25">
        <f t="shared" si="0"/>
        <v>8.9389081790123399E-4</v>
      </c>
      <c r="Y19" s="21"/>
      <c r="Z19" t="s">
        <v>678</v>
      </c>
    </row>
    <row r="20" spans="1:26" x14ac:dyDescent="0.25">
      <c r="A20" s="38" t="s">
        <v>626</v>
      </c>
      <c r="B20" s="4" t="s">
        <v>443</v>
      </c>
      <c r="C20" s="4" t="s">
        <v>186</v>
      </c>
      <c r="D20" s="4" t="s">
        <v>433</v>
      </c>
      <c r="E20" s="6">
        <v>65</v>
      </c>
      <c r="F20" s="4">
        <v>224</v>
      </c>
      <c r="G20" s="4">
        <v>1340</v>
      </c>
      <c r="H20" s="4">
        <v>400</v>
      </c>
      <c r="I20" s="4">
        <v>20</v>
      </c>
      <c r="J20" s="22">
        <v>40</v>
      </c>
      <c r="K20" s="30">
        <v>1.0000000000000001E-5</v>
      </c>
      <c r="L20" s="30">
        <v>9.9999999999999995E-8</v>
      </c>
      <c r="M20" s="51">
        <v>0.9</v>
      </c>
      <c r="N20" s="4">
        <v>48</v>
      </c>
      <c r="O20" s="25">
        <v>4890000</v>
      </c>
      <c r="P20" s="15">
        <v>2.78</v>
      </c>
      <c r="Q20" s="43" t="s">
        <v>675</v>
      </c>
      <c r="R20" s="46">
        <v>4.0000000000000002E-4</v>
      </c>
      <c r="S20" s="71">
        <v>6.4933000000000005E-2</v>
      </c>
      <c r="T20" s="21">
        <v>15.33</v>
      </c>
      <c r="U20" s="21">
        <v>16.04</v>
      </c>
      <c r="V20" s="21">
        <v>0.480099</v>
      </c>
      <c r="W20" s="21">
        <v>9.8800000000000008</v>
      </c>
      <c r="X20" s="25">
        <f t="shared" si="0"/>
        <v>1.7098593750000005E-2</v>
      </c>
      <c r="Y20" s="21"/>
      <c r="Z20" t="s">
        <v>678</v>
      </c>
    </row>
    <row r="21" spans="1:26" x14ac:dyDescent="0.25">
      <c r="A21" s="27" t="s">
        <v>336</v>
      </c>
      <c r="E21" s="3"/>
      <c r="P21" s="3"/>
      <c r="S21" s="71"/>
      <c r="X21" s="25"/>
    </row>
    <row r="22" spans="1:26" x14ac:dyDescent="0.25">
      <c r="A22" s="55" t="s">
        <v>498</v>
      </c>
      <c r="B22" s="4" t="s">
        <v>443</v>
      </c>
      <c r="C22" s="4" t="s">
        <v>186</v>
      </c>
      <c r="D22" s="4" t="s">
        <v>433</v>
      </c>
      <c r="E22" s="6">
        <v>1</v>
      </c>
      <c r="F22" s="4">
        <v>224</v>
      </c>
      <c r="G22" s="4">
        <v>1340</v>
      </c>
      <c r="H22" s="4">
        <v>400</v>
      </c>
      <c r="I22" s="4">
        <v>10</v>
      </c>
      <c r="J22" s="22">
        <v>40</v>
      </c>
      <c r="K22" s="30">
        <v>1.0000000000000001E-5</v>
      </c>
      <c r="L22" s="30">
        <v>4.0000000000000001E-8</v>
      </c>
      <c r="M22" s="51">
        <v>0.1</v>
      </c>
      <c r="N22" s="4">
        <v>48</v>
      </c>
      <c r="O22" s="25">
        <v>4890000</v>
      </c>
      <c r="P22" s="15">
        <v>2.78</v>
      </c>
      <c r="Q22" s="43" t="s">
        <v>675</v>
      </c>
      <c r="R22" s="46">
        <v>8.9999999999999993E-3</v>
      </c>
      <c r="S22" s="71">
        <v>1.2760000000000001E-2</v>
      </c>
      <c r="T22">
        <v>0.51</v>
      </c>
      <c r="U22">
        <v>0.68</v>
      </c>
      <c r="V22">
        <v>0.522034</v>
      </c>
      <c r="W22">
        <v>7.8</v>
      </c>
      <c r="X22" s="25">
        <f t="shared" si="0"/>
        <v>4.6330589849108381E-8</v>
      </c>
      <c r="Z22" t="s">
        <v>683</v>
      </c>
    </row>
    <row r="23" spans="1:26" x14ac:dyDescent="0.25">
      <c r="A23" s="55" t="s">
        <v>499</v>
      </c>
      <c r="B23" s="4" t="s">
        <v>443</v>
      </c>
      <c r="C23" s="4" t="s">
        <v>186</v>
      </c>
      <c r="D23" s="4" t="s">
        <v>433</v>
      </c>
      <c r="E23" s="6">
        <v>1</v>
      </c>
      <c r="F23" s="4">
        <v>224</v>
      </c>
      <c r="G23" s="4">
        <v>1340</v>
      </c>
      <c r="H23" s="4">
        <v>400</v>
      </c>
      <c r="I23" s="4">
        <v>10</v>
      </c>
      <c r="J23" s="22">
        <v>40</v>
      </c>
      <c r="K23" s="30">
        <v>1.0000000000000001E-5</v>
      </c>
      <c r="L23" s="30">
        <v>4.0000000000000001E-8</v>
      </c>
      <c r="M23" s="51">
        <v>0.3</v>
      </c>
      <c r="N23" s="4">
        <v>48</v>
      </c>
      <c r="O23" s="25">
        <v>4890000</v>
      </c>
      <c r="P23" s="15">
        <v>2.78</v>
      </c>
      <c r="Q23" s="43" t="s">
        <v>675</v>
      </c>
      <c r="R23" s="46">
        <v>7.4999999999999997E-3</v>
      </c>
      <c r="S23" s="71">
        <v>1.064E-2</v>
      </c>
      <c r="T23">
        <v>0.61</v>
      </c>
      <c r="U23">
        <v>0.67</v>
      </c>
      <c r="V23">
        <v>0.450208</v>
      </c>
      <c r="W23">
        <v>5.63</v>
      </c>
      <c r="X23" s="25">
        <f t="shared" si="0"/>
        <v>2.0678571428571426E-6</v>
      </c>
      <c r="Z23" t="s">
        <v>683</v>
      </c>
    </row>
    <row r="24" spans="1:26" x14ac:dyDescent="0.25">
      <c r="A24" s="55" t="s">
        <v>500</v>
      </c>
      <c r="B24" s="4" t="s">
        <v>443</v>
      </c>
      <c r="C24" s="4" t="s">
        <v>186</v>
      </c>
      <c r="D24" s="4" t="s">
        <v>433</v>
      </c>
      <c r="E24" s="6">
        <v>1</v>
      </c>
      <c r="F24" s="4">
        <v>224</v>
      </c>
      <c r="G24" s="4">
        <v>1340</v>
      </c>
      <c r="H24" s="4">
        <v>400</v>
      </c>
      <c r="I24" s="4">
        <v>10</v>
      </c>
      <c r="J24" s="22">
        <v>40</v>
      </c>
      <c r="K24" s="30">
        <v>1.0000000000000001E-5</v>
      </c>
      <c r="L24" s="30">
        <v>4.0000000000000001E-8</v>
      </c>
      <c r="M24" s="51">
        <v>0.5</v>
      </c>
      <c r="N24" s="4">
        <v>48</v>
      </c>
      <c r="O24" s="25">
        <v>4890000</v>
      </c>
      <c r="P24" s="15">
        <v>2.78</v>
      </c>
      <c r="Q24" s="43" t="s">
        <v>687</v>
      </c>
      <c r="R24" s="46">
        <v>6.4999999999999997E-3</v>
      </c>
      <c r="S24" s="71">
        <v>8.3700000000000007E-3</v>
      </c>
      <c r="T24">
        <v>0.73</v>
      </c>
      <c r="U24">
        <v>1.52</v>
      </c>
      <c r="V24">
        <v>0.52733300000000005</v>
      </c>
      <c r="W24">
        <v>6</v>
      </c>
      <c r="X24" s="25">
        <f t="shared" si="0"/>
        <v>1.8763888888888886E-5</v>
      </c>
      <c r="Z24" t="s">
        <v>678</v>
      </c>
    </row>
    <row r="25" spans="1:26" x14ac:dyDescent="0.25">
      <c r="A25" s="55" t="s">
        <v>501</v>
      </c>
      <c r="B25" s="4" t="s">
        <v>443</v>
      </c>
      <c r="C25" s="4" t="s">
        <v>186</v>
      </c>
      <c r="D25" s="4" t="s">
        <v>433</v>
      </c>
      <c r="E25" s="6">
        <v>1</v>
      </c>
      <c r="F25" s="4">
        <v>224</v>
      </c>
      <c r="G25" s="4">
        <v>1340</v>
      </c>
      <c r="H25" s="4">
        <v>400</v>
      </c>
      <c r="I25" s="4">
        <v>10</v>
      </c>
      <c r="J25" s="22">
        <v>40</v>
      </c>
      <c r="K25" s="30">
        <v>1.0000000000000001E-5</v>
      </c>
      <c r="L25" s="30">
        <v>4.0000000000000001E-8</v>
      </c>
      <c r="M25" s="51">
        <v>0.7</v>
      </c>
      <c r="N25" s="4">
        <v>48</v>
      </c>
      <c r="O25" s="25">
        <v>4890000</v>
      </c>
      <c r="P25" s="15">
        <v>2.78</v>
      </c>
      <c r="Q25" s="43" t="s">
        <v>687</v>
      </c>
      <c r="R25" s="46">
        <v>5.0000000000000001E-3</v>
      </c>
      <c r="S25" s="71">
        <v>5.8599999999999998E-3</v>
      </c>
      <c r="T25">
        <v>0.98</v>
      </c>
      <c r="U25">
        <v>1.4</v>
      </c>
      <c r="V25">
        <v>0.54447900000000005</v>
      </c>
      <c r="W25">
        <v>8.6</v>
      </c>
      <c r="X25" s="25">
        <f t="shared" si="0"/>
        <v>1.4302253086419746E-4</v>
      </c>
      <c r="Z25" t="s">
        <v>678</v>
      </c>
    </row>
    <row r="26" spans="1:26" x14ac:dyDescent="0.25">
      <c r="A26" s="55" t="s">
        <v>502</v>
      </c>
      <c r="B26" s="4" t="s">
        <v>443</v>
      </c>
      <c r="C26" s="4" t="s">
        <v>186</v>
      </c>
      <c r="D26" s="4" t="s">
        <v>433</v>
      </c>
      <c r="E26" s="6">
        <v>1</v>
      </c>
      <c r="F26" s="4">
        <v>224</v>
      </c>
      <c r="G26" s="4">
        <v>1340</v>
      </c>
      <c r="H26" s="4">
        <v>400</v>
      </c>
      <c r="I26" s="4">
        <v>20</v>
      </c>
      <c r="J26" s="22">
        <v>40</v>
      </c>
      <c r="K26" s="30">
        <v>1.0000000000000001E-5</v>
      </c>
      <c r="L26" s="30">
        <v>4.0000000000000001E-8</v>
      </c>
      <c r="M26" s="51">
        <v>0.9</v>
      </c>
      <c r="N26" s="4">
        <v>48</v>
      </c>
      <c r="O26" s="25">
        <v>4890000</v>
      </c>
      <c r="P26" s="15">
        <v>2.78</v>
      </c>
      <c r="Q26" s="43" t="s">
        <v>687</v>
      </c>
      <c r="R26" s="46">
        <v>2.5999999999999999E-3</v>
      </c>
      <c r="S26" s="71">
        <v>2.9359999999999998E-3</v>
      </c>
      <c r="T26">
        <v>1.95</v>
      </c>
      <c r="U26">
        <v>2.0499999999999998</v>
      </c>
      <c r="V26">
        <v>0.55446499999999999</v>
      </c>
      <c r="W26">
        <v>11.58</v>
      </c>
      <c r="X26" s="25">
        <f t="shared" si="0"/>
        <v>2.7357750000000011E-3</v>
      </c>
      <c r="Z26" t="s">
        <v>678</v>
      </c>
    </row>
    <row r="27" spans="1:26" x14ac:dyDescent="0.25">
      <c r="A27" s="55" t="s">
        <v>503</v>
      </c>
      <c r="B27" s="4" t="s">
        <v>443</v>
      </c>
      <c r="C27" s="4" t="s">
        <v>186</v>
      </c>
      <c r="D27" s="4" t="s">
        <v>433</v>
      </c>
      <c r="E27" s="6">
        <v>100</v>
      </c>
      <c r="F27" s="4">
        <v>224</v>
      </c>
      <c r="G27" s="4">
        <v>1340</v>
      </c>
      <c r="H27" s="4">
        <v>400</v>
      </c>
      <c r="I27" s="4">
        <v>10</v>
      </c>
      <c r="J27" s="22">
        <v>40</v>
      </c>
      <c r="K27" s="30">
        <v>1.0000000000000001E-5</v>
      </c>
      <c r="L27" s="30">
        <v>4.0000000000000001E-8</v>
      </c>
      <c r="M27" s="51">
        <v>0.1</v>
      </c>
      <c r="N27" s="4">
        <v>48</v>
      </c>
      <c r="O27" s="25">
        <v>4890000</v>
      </c>
      <c r="P27" s="15">
        <v>2.78</v>
      </c>
      <c r="Q27" s="43" t="s">
        <v>675</v>
      </c>
      <c r="R27" s="46">
        <v>2E-3</v>
      </c>
      <c r="S27" s="71">
        <v>0.23444699999999999</v>
      </c>
      <c r="T27">
        <v>3.42</v>
      </c>
      <c r="U27">
        <v>3.54</v>
      </c>
      <c r="V27">
        <v>0.59145099999999995</v>
      </c>
      <c r="W27">
        <v>7.1</v>
      </c>
      <c r="X27" s="25">
        <f t="shared" si="0"/>
        <v>4.6330589849108381E-8</v>
      </c>
    </row>
    <row r="28" spans="1:26" x14ac:dyDescent="0.25">
      <c r="A28" s="55" t="s">
        <v>504</v>
      </c>
      <c r="B28" s="4" t="s">
        <v>443</v>
      </c>
      <c r="C28" s="4" t="s">
        <v>186</v>
      </c>
      <c r="D28" s="4" t="s">
        <v>433</v>
      </c>
      <c r="E28" s="6">
        <v>100</v>
      </c>
      <c r="F28" s="4">
        <v>224</v>
      </c>
      <c r="G28" s="4">
        <v>1340</v>
      </c>
      <c r="H28" s="4">
        <v>400</v>
      </c>
      <c r="I28" s="4">
        <v>20</v>
      </c>
      <c r="J28" s="22">
        <v>40</v>
      </c>
      <c r="K28" s="30">
        <v>1.0000000000000001E-5</v>
      </c>
      <c r="L28" s="30">
        <v>4.0000000000000001E-8</v>
      </c>
      <c r="M28" s="51">
        <v>0.3</v>
      </c>
      <c r="N28" s="4">
        <v>48</v>
      </c>
      <c r="O28" s="25">
        <v>4890000</v>
      </c>
      <c r="P28" s="15">
        <v>2.78</v>
      </c>
      <c r="Q28" s="43" t="s">
        <v>675</v>
      </c>
      <c r="R28" s="46">
        <v>1.5E-3</v>
      </c>
      <c r="S28" s="71">
        <v>0.39001400000000003</v>
      </c>
      <c r="T28">
        <v>4.57</v>
      </c>
      <c r="U28">
        <v>4.58</v>
      </c>
      <c r="V28">
        <v>0.55115999999999998</v>
      </c>
      <c r="W28">
        <v>6.4</v>
      </c>
      <c r="X28" s="25">
        <f t="shared" si="0"/>
        <v>2.0678571428571426E-6</v>
      </c>
    </row>
    <row r="29" spans="1:26" x14ac:dyDescent="0.25">
      <c r="A29" s="55" t="s">
        <v>505</v>
      </c>
      <c r="B29" s="4" t="s">
        <v>443</v>
      </c>
      <c r="C29" s="4" t="s">
        <v>186</v>
      </c>
      <c r="D29" s="4" t="s">
        <v>433</v>
      </c>
      <c r="E29" s="6">
        <v>100</v>
      </c>
      <c r="F29" s="4">
        <v>224</v>
      </c>
      <c r="G29" s="4">
        <v>1340</v>
      </c>
      <c r="H29" s="4">
        <v>400</v>
      </c>
      <c r="I29" s="4">
        <v>20</v>
      </c>
      <c r="J29" s="22">
        <v>40</v>
      </c>
      <c r="K29" s="30">
        <v>1.0000000000000001E-5</v>
      </c>
      <c r="L29" s="30">
        <v>4.0000000000000001E-8</v>
      </c>
      <c r="M29" s="51">
        <v>0.5</v>
      </c>
      <c r="N29" s="4">
        <v>48</v>
      </c>
      <c r="O29" s="25">
        <v>4890000</v>
      </c>
      <c r="P29" s="15">
        <v>2.78</v>
      </c>
      <c r="Q29" s="43" t="s">
        <v>675</v>
      </c>
      <c r="R29" s="46">
        <v>1.1999999999999999E-3</v>
      </c>
      <c r="S29" s="71">
        <v>0.29470099999999999</v>
      </c>
      <c r="T29">
        <v>5.98</v>
      </c>
      <c r="U29">
        <v>6.13</v>
      </c>
      <c r="V29">
        <v>0.54502499999999998</v>
      </c>
      <c r="W29">
        <v>7.07</v>
      </c>
      <c r="X29" s="25">
        <f t="shared" si="0"/>
        <v>1.8763888888888886E-5</v>
      </c>
    </row>
    <row r="30" spans="1:26" x14ac:dyDescent="0.25">
      <c r="A30" s="55" t="s">
        <v>506</v>
      </c>
      <c r="B30" s="4" t="s">
        <v>443</v>
      </c>
      <c r="C30" s="4" t="s">
        <v>186</v>
      </c>
      <c r="D30" s="4" t="s">
        <v>433</v>
      </c>
      <c r="E30" s="6">
        <v>100</v>
      </c>
      <c r="F30" s="4">
        <v>224</v>
      </c>
      <c r="G30" s="4">
        <v>1340</v>
      </c>
      <c r="H30" s="4">
        <v>400</v>
      </c>
      <c r="I30" s="4">
        <v>30</v>
      </c>
      <c r="J30" s="22">
        <v>40</v>
      </c>
      <c r="K30" s="30">
        <v>1.0000000000000001E-5</v>
      </c>
      <c r="L30" s="30">
        <v>4.0000000000000001E-8</v>
      </c>
      <c r="M30" s="51">
        <v>0.7</v>
      </c>
      <c r="N30" s="4">
        <v>48</v>
      </c>
      <c r="O30" s="25">
        <v>4890000</v>
      </c>
      <c r="P30" s="15">
        <v>2.78</v>
      </c>
      <c r="Q30" s="43" t="s">
        <v>675</v>
      </c>
      <c r="R30" s="46">
        <v>8.0000000000000004E-4</v>
      </c>
      <c r="S30" s="71">
        <v>0.24108299999999999</v>
      </c>
      <c r="T30">
        <v>8.5</v>
      </c>
      <c r="U30">
        <v>8.77</v>
      </c>
      <c r="V30">
        <v>0.51979200000000003</v>
      </c>
      <c r="W30">
        <v>7.49</v>
      </c>
      <c r="X30" s="25">
        <f t="shared" si="0"/>
        <v>1.4302253086419746E-4</v>
      </c>
      <c r="Z30" t="s">
        <v>690</v>
      </c>
    </row>
    <row r="31" spans="1:26" x14ac:dyDescent="0.25">
      <c r="A31" s="55" t="s">
        <v>507</v>
      </c>
      <c r="B31" s="4" t="s">
        <v>443</v>
      </c>
      <c r="C31" s="4" t="s">
        <v>186</v>
      </c>
      <c r="D31" s="4" t="s">
        <v>433</v>
      </c>
      <c r="E31" s="6">
        <v>100</v>
      </c>
      <c r="F31" s="4">
        <v>224</v>
      </c>
      <c r="G31" s="4">
        <v>1340</v>
      </c>
      <c r="H31" s="4">
        <v>400</v>
      </c>
      <c r="I31" s="4">
        <v>30</v>
      </c>
      <c r="J31" s="22">
        <v>40</v>
      </c>
      <c r="K31" s="30">
        <v>1.0000000000000001E-5</v>
      </c>
      <c r="L31" s="30">
        <v>4.0000000000000001E-8</v>
      </c>
      <c r="M31" s="51">
        <v>0.9</v>
      </c>
      <c r="N31" s="4">
        <v>48</v>
      </c>
      <c r="O31" s="25">
        <v>4890000</v>
      </c>
      <c r="P31" s="15">
        <v>2.78</v>
      </c>
      <c r="Q31" s="43" t="s">
        <v>675</v>
      </c>
      <c r="R31" s="46">
        <v>5.0000000000000001E-4</v>
      </c>
      <c r="S31" s="71">
        <v>0.130387</v>
      </c>
      <c r="T31" s="21">
        <v>14.88</v>
      </c>
      <c r="U31" s="21">
        <v>16</v>
      </c>
      <c r="V31" s="21">
        <v>0.43160799999999999</v>
      </c>
      <c r="W31" s="4">
        <v>11.63</v>
      </c>
      <c r="X31" s="25">
        <f t="shared" si="0"/>
        <v>2.7357750000000011E-3</v>
      </c>
      <c r="Y31" s="21"/>
      <c r="Z31" t="s">
        <v>678</v>
      </c>
    </row>
    <row r="32" spans="1:26" x14ac:dyDescent="0.25">
      <c r="A32" s="52" t="s">
        <v>487</v>
      </c>
      <c r="E32" s="3"/>
      <c r="P32" s="3"/>
      <c r="X32" s="25"/>
    </row>
    <row r="33" spans="1:26" x14ac:dyDescent="0.25">
      <c r="A33" s="55" t="s">
        <v>508</v>
      </c>
      <c r="B33" t="s">
        <v>474</v>
      </c>
      <c r="C33" s="4" t="s">
        <v>186</v>
      </c>
      <c r="D33" s="4" t="s">
        <v>473</v>
      </c>
      <c r="E33" s="6">
        <v>65</v>
      </c>
      <c r="F33" s="4">
        <v>224</v>
      </c>
      <c r="G33" s="4">
        <v>1340</v>
      </c>
      <c r="H33" s="4">
        <v>400</v>
      </c>
      <c r="I33" s="4">
        <v>10</v>
      </c>
      <c r="J33" s="22">
        <v>40</v>
      </c>
      <c r="K33" s="30">
        <v>1.0000000000000001E-5</v>
      </c>
      <c r="L33" s="30">
        <v>4.0000000000000001E-8</v>
      </c>
      <c r="M33" s="51">
        <v>0.1</v>
      </c>
      <c r="N33" s="4">
        <v>48</v>
      </c>
      <c r="O33" s="25">
        <v>4890000</v>
      </c>
      <c r="P33" s="15">
        <v>2.78</v>
      </c>
      <c r="Q33" s="43" t="s">
        <v>675</v>
      </c>
      <c r="R33" s="46">
        <v>2E-3</v>
      </c>
      <c r="S33" s="21">
        <v>0.16552700000000001</v>
      </c>
      <c r="T33" s="21">
        <v>3.7</v>
      </c>
      <c r="U33" s="21">
        <v>3.73</v>
      </c>
      <c r="V33" s="21">
        <v>0.70274000000000003</v>
      </c>
      <c r="W33" s="4">
        <v>5</v>
      </c>
      <c r="X33" s="25">
        <f t="shared" si="0"/>
        <v>4.6330589849108381E-8</v>
      </c>
      <c r="Y33" s="21"/>
      <c r="Z33" t="s">
        <v>679</v>
      </c>
    </row>
    <row r="34" spans="1:26" x14ac:dyDescent="0.25">
      <c r="A34" s="55" t="s">
        <v>509</v>
      </c>
      <c r="B34" t="s">
        <v>474</v>
      </c>
      <c r="C34" s="4" t="s">
        <v>186</v>
      </c>
      <c r="D34" s="4" t="s">
        <v>473</v>
      </c>
      <c r="E34" s="6">
        <v>65</v>
      </c>
      <c r="F34" s="4">
        <v>224</v>
      </c>
      <c r="G34" s="4">
        <v>1340</v>
      </c>
      <c r="H34" s="4">
        <v>400</v>
      </c>
      <c r="I34" s="4">
        <v>10</v>
      </c>
      <c r="J34" s="22">
        <v>40</v>
      </c>
      <c r="K34" s="30">
        <v>1.0000000000000001E-5</v>
      </c>
      <c r="L34" s="30">
        <v>4.0000000000000001E-8</v>
      </c>
      <c r="M34" s="51">
        <v>0.3</v>
      </c>
      <c r="N34" s="4">
        <v>48</v>
      </c>
      <c r="O34" s="25">
        <v>4890000</v>
      </c>
      <c r="P34" s="15">
        <v>2.78</v>
      </c>
      <c r="Q34" s="43" t="s">
        <v>675</v>
      </c>
      <c r="R34" s="46">
        <v>1.5E-3</v>
      </c>
      <c r="S34" s="21">
        <v>0.14702699999999999</v>
      </c>
      <c r="T34" s="21">
        <v>4.46</v>
      </c>
      <c r="U34" s="21">
        <v>4.87</v>
      </c>
      <c r="V34" s="21">
        <v>0.53105000000000002</v>
      </c>
      <c r="W34" s="4">
        <v>4</v>
      </c>
      <c r="X34" s="25">
        <f t="shared" si="0"/>
        <v>2.0678571428571426E-6</v>
      </c>
      <c r="Y34" s="21"/>
    </row>
    <row r="35" spans="1:26" x14ac:dyDescent="0.25">
      <c r="A35" s="55" t="s">
        <v>510</v>
      </c>
      <c r="B35" t="s">
        <v>474</v>
      </c>
      <c r="C35" s="4" t="s">
        <v>186</v>
      </c>
      <c r="D35" s="4" t="s">
        <v>473</v>
      </c>
      <c r="E35" s="6">
        <v>65</v>
      </c>
      <c r="F35" s="4">
        <v>224</v>
      </c>
      <c r="G35" s="4">
        <v>1340</v>
      </c>
      <c r="H35" s="4">
        <v>400</v>
      </c>
      <c r="I35" s="4">
        <v>10</v>
      </c>
      <c r="J35" s="22">
        <v>40</v>
      </c>
      <c r="K35" s="30">
        <v>1.0000000000000001E-5</v>
      </c>
      <c r="L35" s="30">
        <v>4.0000000000000001E-8</v>
      </c>
      <c r="M35" s="51">
        <v>0.5</v>
      </c>
      <c r="N35" s="4">
        <v>48</v>
      </c>
      <c r="O35" s="25">
        <v>4890000</v>
      </c>
      <c r="P35" s="15">
        <v>2.78</v>
      </c>
      <c r="Q35" s="43" t="s">
        <v>675</v>
      </c>
      <c r="R35" s="46">
        <v>1.1999999999999999E-3</v>
      </c>
      <c r="S35" s="21">
        <v>0.117741</v>
      </c>
      <c r="T35" s="21">
        <v>5.44</v>
      </c>
      <c r="U35" s="21">
        <v>5.47</v>
      </c>
      <c r="V35" s="21">
        <v>0.54326200000000002</v>
      </c>
      <c r="W35" s="4">
        <v>4.58</v>
      </c>
      <c r="X35" s="25">
        <f t="shared" si="0"/>
        <v>1.8763888888888886E-5</v>
      </c>
      <c r="Y35" s="21"/>
    </row>
    <row r="36" spans="1:26" x14ac:dyDescent="0.25">
      <c r="A36" s="55" t="s">
        <v>511</v>
      </c>
      <c r="B36" t="s">
        <v>474</v>
      </c>
      <c r="C36" s="4" t="s">
        <v>186</v>
      </c>
      <c r="D36" s="4" t="s">
        <v>473</v>
      </c>
      <c r="E36" s="6">
        <v>65</v>
      </c>
      <c r="F36" s="4">
        <v>224</v>
      </c>
      <c r="G36" s="4">
        <v>1340</v>
      </c>
      <c r="H36" s="4">
        <v>400</v>
      </c>
      <c r="I36" s="4">
        <v>10</v>
      </c>
      <c r="J36" s="22">
        <v>40</v>
      </c>
      <c r="K36" s="30">
        <v>1.0000000000000001E-5</v>
      </c>
      <c r="L36" s="30">
        <v>4.0000000000000001E-8</v>
      </c>
      <c r="M36" s="51">
        <v>0.7</v>
      </c>
      <c r="N36" s="4">
        <v>48</v>
      </c>
      <c r="O36" s="25">
        <v>4890000</v>
      </c>
      <c r="P36" s="15">
        <v>2.78</v>
      </c>
      <c r="Q36" s="43" t="s">
        <v>675</v>
      </c>
      <c r="R36" s="46">
        <v>8.0000000000000004E-4</v>
      </c>
      <c r="S36" s="21">
        <v>8.1114000000000006E-2</v>
      </c>
      <c r="T36" s="21">
        <v>7.02</v>
      </c>
      <c r="U36" s="21">
        <v>7.22</v>
      </c>
      <c r="V36" s="21">
        <v>0.46640599999999999</v>
      </c>
      <c r="W36" s="4">
        <v>4.4000000000000004</v>
      </c>
      <c r="X36" s="25">
        <f t="shared" si="0"/>
        <v>1.4302253086419746E-4</v>
      </c>
      <c r="Y36" s="21"/>
    </row>
    <row r="37" spans="1:26" x14ac:dyDescent="0.25">
      <c r="A37" s="55" t="s">
        <v>488</v>
      </c>
      <c r="B37" t="s">
        <v>474</v>
      </c>
      <c r="C37" s="4" t="s">
        <v>186</v>
      </c>
      <c r="D37" s="4" t="s">
        <v>473</v>
      </c>
      <c r="E37" s="6">
        <v>65</v>
      </c>
      <c r="F37" s="4">
        <v>224</v>
      </c>
      <c r="G37" s="4">
        <v>1340</v>
      </c>
      <c r="H37" s="4">
        <v>400</v>
      </c>
      <c r="I37" s="4">
        <v>20</v>
      </c>
      <c r="J37" s="22">
        <v>40</v>
      </c>
      <c r="K37" s="30">
        <v>1.0000000000000001E-5</v>
      </c>
      <c r="L37" s="30">
        <v>4.0000000000000001E-8</v>
      </c>
      <c r="M37" s="51">
        <v>0.9</v>
      </c>
      <c r="N37" s="4">
        <v>48</v>
      </c>
      <c r="O37" s="25">
        <v>4890000</v>
      </c>
      <c r="P37" s="15">
        <v>2.78</v>
      </c>
      <c r="Q37" s="43" t="s">
        <v>675</v>
      </c>
      <c r="R37" s="46">
        <v>5.0000000000000001E-4</v>
      </c>
      <c r="S37" s="71">
        <v>5.7585999999999998E-2</v>
      </c>
      <c r="T37">
        <v>12.33</v>
      </c>
      <c r="U37">
        <v>12.61</v>
      </c>
      <c r="V37">
        <v>0.44652999999999998</v>
      </c>
      <c r="W37" s="4">
        <v>7.83</v>
      </c>
      <c r="X37" s="25">
        <f t="shared" si="0"/>
        <v>2.7357750000000011E-3</v>
      </c>
    </row>
    <row r="38" spans="1:26" x14ac:dyDescent="0.25">
      <c r="A38" s="70" t="s">
        <v>516</v>
      </c>
      <c r="B38" t="s">
        <v>475</v>
      </c>
      <c r="C38" s="4" t="s">
        <v>186</v>
      </c>
      <c r="D38" s="4" t="s">
        <v>541</v>
      </c>
      <c r="E38" s="6">
        <v>65</v>
      </c>
      <c r="F38" s="4">
        <v>224</v>
      </c>
      <c r="G38" s="4">
        <v>1340</v>
      </c>
      <c r="H38" s="4">
        <v>400</v>
      </c>
      <c r="I38" s="4">
        <v>10</v>
      </c>
      <c r="J38" s="22">
        <v>40</v>
      </c>
      <c r="K38" s="30">
        <v>1.0000000000000001E-5</v>
      </c>
      <c r="L38" s="30">
        <v>4.0000000000000001E-8</v>
      </c>
      <c r="M38" s="51">
        <v>0.1</v>
      </c>
      <c r="N38" s="4">
        <v>48</v>
      </c>
      <c r="O38" s="25">
        <v>4890000</v>
      </c>
      <c r="P38" s="15">
        <v>2.78</v>
      </c>
      <c r="Q38" s="43" t="s">
        <v>675</v>
      </c>
      <c r="R38" s="46">
        <v>2E-3</v>
      </c>
      <c r="S38" s="71">
        <v>0.16830700000000001</v>
      </c>
      <c r="T38" s="21">
        <v>3.56</v>
      </c>
      <c r="U38" s="21">
        <v>3.59</v>
      </c>
      <c r="V38" s="21">
        <v>0.66739999999999999</v>
      </c>
      <c r="W38" s="4">
        <v>5</v>
      </c>
      <c r="X38" s="25">
        <f t="shared" si="0"/>
        <v>4.6330589849108381E-8</v>
      </c>
      <c r="Y38" s="21"/>
      <c r="Z38" t="s">
        <v>679</v>
      </c>
    </row>
    <row r="39" spans="1:26" x14ac:dyDescent="0.25">
      <c r="A39" s="70" t="s">
        <v>517</v>
      </c>
      <c r="B39" t="s">
        <v>475</v>
      </c>
      <c r="C39" s="4" t="s">
        <v>186</v>
      </c>
      <c r="D39" s="4" t="s">
        <v>541</v>
      </c>
      <c r="E39" s="6">
        <v>65</v>
      </c>
      <c r="F39" s="4">
        <v>224</v>
      </c>
      <c r="G39" s="4">
        <v>1340</v>
      </c>
      <c r="H39" s="4">
        <v>400</v>
      </c>
      <c r="I39" s="4">
        <v>10</v>
      </c>
      <c r="J39" s="22">
        <v>40</v>
      </c>
      <c r="K39" s="30">
        <v>1.0000000000000001E-5</v>
      </c>
      <c r="L39" s="30">
        <v>4.0000000000000001E-8</v>
      </c>
      <c r="M39" s="51">
        <v>0.3</v>
      </c>
      <c r="N39" s="4">
        <v>48</v>
      </c>
      <c r="O39" s="25">
        <v>4890000</v>
      </c>
      <c r="P39" s="15">
        <v>2.78</v>
      </c>
      <c r="Q39" s="43" t="s">
        <v>675</v>
      </c>
      <c r="R39" s="46">
        <v>1.5E-3</v>
      </c>
      <c r="S39" s="71">
        <v>0.15060100000000001</v>
      </c>
      <c r="T39" s="21">
        <v>4.71</v>
      </c>
      <c r="U39" s="21">
        <v>4.79</v>
      </c>
      <c r="V39" s="21">
        <v>0.56808099999999995</v>
      </c>
      <c r="W39" s="4">
        <v>4.25</v>
      </c>
      <c r="X39" s="25">
        <f t="shared" si="0"/>
        <v>2.0678571428571426E-6</v>
      </c>
      <c r="Y39" s="21"/>
    </row>
    <row r="40" spans="1:26" x14ac:dyDescent="0.25">
      <c r="A40" s="70" t="s">
        <v>518</v>
      </c>
      <c r="B40" t="s">
        <v>475</v>
      </c>
      <c r="C40" s="4" t="s">
        <v>186</v>
      </c>
      <c r="D40" s="4" t="s">
        <v>541</v>
      </c>
      <c r="E40" s="6">
        <v>65</v>
      </c>
      <c r="F40" s="4">
        <v>224</v>
      </c>
      <c r="G40" s="4">
        <v>1340</v>
      </c>
      <c r="H40" s="4">
        <v>400</v>
      </c>
      <c r="I40" s="4">
        <v>10</v>
      </c>
      <c r="J40" s="22">
        <v>40</v>
      </c>
      <c r="K40" s="30">
        <v>1.0000000000000001E-5</v>
      </c>
      <c r="L40" s="30">
        <v>4.0000000000000001E-8</v>
      </c>
      <c r="M40" s="51">
        <v>0.5</v>
      </c>
      <c r="N40" s="4">
        <v>48</v>
      </c>
      <c r="O40" s="25">
        <v>4890000</v>
      </c>
      <c r="P40" s="15">
        <v>2.78</v>
      </c>
      <c r="Q40" s="43" t="s">
        <v>675</v>
      </c>
      <c r="R40" s="46">
        <v>1.1999999999999999E-3</v>
      </c>
      <c r="S40" s="71">
        <v>0.12460400000000001</v>
      </c>
      <c r="T40" s="21">
        <v>5.84</v>
      </c>
      <c r="U40" s="21">
        <v>9.73</v>
      </c>
      <c r="V40" s="21">
        <v>0.55665799999999999</v>
      </c>
      <c r="W40" s="4">
        <v>4.67</v>
      </c>
      <c r="X40" s="25">
        <f t="shared" si="0"/>
        <v>1.8763888888888886E-5</v>
      </c>
      <c r="Y40" s="21"/>
    </row>
    <row r="41" spans="1:26" x14ac:dyDescent="0.25">
      <c r="A41" s="70" t="s">
        <v>519</v>
      </c>
      <c r="B41" t="s">
        <v>475</v>
      </c>
      <c r="C41" s="4" t="s">
        <v>186</v>
      </c>
      <c r="D41" s="4" t="s">
        <v>541</v>
      </c>
      <c r="E41" s="6">
        <v>65</v>
      </c>
      <c r="F41" s="4">
        <v>224</v>
      </c>
      <c r="G41" s="4">
        <v>1340</v>
      </c>
      <c r="H41" s="4">
        <v>400</v>
      </c>
      <c r="I41" s="4">
        <v>10</v>
      </c>
      <c r="J41" s="22">
        <v>40</v>
      </c>
      <c r="K41" s="30">
        <v>1.0000000000000001E-5</v>
      </c>
      <c r="L41" s="30">
        <v>4.0000000000000001E-8</v>
      </c>
      <c r="M41" s="51">
        <v>0.7</v>
      </c>
      <c r="N41" s="4">
        <v>48</v>
      </c>
      <c r="O41" s="25">
        <v>4890000</v>
      </c>
      <c r="P41" s="15">
        <v>2.78</v>
      </c>
      <c r="Q41" s="43" t="s">
        <v>675</v>
      </c>
      <c r="R41" s="46">
        <v>8.0000000000000004E-4</v>
      </c>
      <c r="S41" s="71">
        <v>8.6235999999999993E-2</v>
      </c>
      <c r="T41" s="21">
        <v>7.6</v>
      </c>
      <c r="U41" s="21">
        <v>7.83</v>
      </c>
      <c r="V41" s="21">
        <v>0.47021099999999999</v>
      </c>
      <c r="W41" s="4">
        <v>4.4000000000000004</v>
      </c>
      <c r="X41" s="25">
        <f t="shared" si="0"/>
        <v>1.4302253086419746E-4</v>
      </c>
      <c r="Y41" s="21"/>
      <c r="Z41" t="s">
        <v>678</v>
      </c>
    </row>
    <row r="42" spans="1:26" x14ac:dyDescent="0.25">
      <c r="A42" s="70" t="s">
        <v>490</v>
      </c>
      <c r="B42" t="s">
        <v>475</v>
      </c>
      <c r="C42" s="4" t="s">
        <v>186</v>
      </c>
      <c r="D42" s="4" t="s">
        <v>541</v>
      </c>
      <c r="E42" s="6">
        <v>65</v>
      </c>
      <c r="F42" s="4">
        <v>224</v>
      </c>
      <c r="G42" s="4">
        <v>1340</v>
      </c>
      <c r="H42" s="4">
        <v>400</v>
      </c>
      <c r="I42" s="4">
        <v>20</v>
      </c>
      <c r="J42" s="22">
        <v>40</v>
      </c>
      <c r="K42" s="30">
        <v>1.0000000000000001E-5</v>
      </c>
      <c r="L42" s="30">
        <v>4.0000000000000001E-8</v>
      </c>
      <c r="M42" s="51">
        <v>0.9</v>
      </c>
      <c r="N42" s="4">
        <v>48</v>
      </c>
      <c r="O42" s="25">
        <v>4890000</v>
      </c>
      <c r="P42" s="15">
        <v>2.78</v>
      </c>
      <c r="Q42" s="43" t="s">
        <v>675</v>
      </c>
      <c r="R42" s="46">
        <v>5.0000000000000001E-4</v>
      </c>
      <c r="S42" s="71">
        <v>6.0040000000000003E-2</v>
      </c>
      <c r="T42" s="21">
        <v>13.3</v>
      </c>
      <c r="U42" s="21">
        <v>16.38</v>
      </c>
      <c r="V42" s="21">
        <v>0.48768299999999998</v>
      </c>
      <c r="W42" s="4">
        <v>8.5500000000000007</v>
      </c>
      <c r="X42" s="25">
        <f t="shared" si="0"/>
        <v>2.7357750000000011E-3</v>
      </c>
      <c r="Y42" s="21"/>
      <c r="Z42" t="s">
        <v>686</v>
      </c>
    </row>
    <row r="43" spans="1:26" x14ac:dyDescent="0.25">
      <c r="A43" s="80" t="s">
        <v>520</v>
      </c>
      <c r="C43" s="4"/>
      <c r="D43" s="4"/>
      <c r="E43" s="6"/>
      <c r="F43" s="4"/>
      <c r="G43" s="4"/>
      <c r="H43" s="4"/>
      <c r="I43" s="4"/>
      <c r="J43" s="22"/>
      <c r="K43" s="30"/>
      <c r="L43" s="30"/>
      <c r="M43" s="51"/>
      <c r="N43" s="4"/>
      <c r="O43" s="25"/>
      <c r="P43" s="15"/>
      <c r="Q43" s="43"/>
      <c r="R43" s="46"/>
      <c r="S43" s="72"/>
      <c r="X43" s="25"/>
    </row>
    <row r="44" spans="1:26" x14ac:dyDescent="0.25">
      <c r="A44" s="70" t="s">
        <v>521</v>
      </c>
      <c r="B44" s="4" t="s">
        <v>443</v>
      </c>
      <c r="C44" s="4" t="s">
        <v>186</v>
      </c>
      <c r="D44" s="4" t="s">
        <v>433</v>
      </c>
      <c r="E44" s="6">
        <v>65</v>
      </c>
      <c r="F44" s="4">
        <v>224</v>
      </c>
      <c r="G44" s="4">
        <v>1340</v>
      </c>
      <c r="H44" s="4">
        <v>400</v>
      </c>
      <c r="I44" s="4">
        <v>20</v>
      </c>
      <c r="J44" s="22">
        <v>40</v>
      </c>
      <c r="K44" s="30">
        <v>1.0000000000000001E-5</v>
      </c>
      <c r="L44" s="30">
        <v>4.0000000000000001E-8</v>
      </c>
      <c r="M44" s="51">
        <v>0.1</v>
      </c>
      <c r="N44" s="4">
        <v>70</v>
      </c>
      <c r="O44" s="25">
        <v>4890000</v>
      </c>
      <c r="P44" s="15">
        <v>2.78</v>
      </c>
      <c r="Q44" s="43" t="s">
        <v>675</v>
      </c>
      <c r="R44" s="46">
        <v>5.0000000000000001E-3</v>
      </c>
      <c r="S44" s="71">
        <v>1.193665</v>
      </c>
      <c r="T44">
        <v>1.39</v>
      </c>
      <c r="U44">
        <v>1.41</v>
      </c>
      <c r="V44">
        <v>0.54187700000000005</v>
      </c>
      <c r="W44">
        <v>10.6</v>
      </c>
      <c r="X44" s="25">
        <f t="shared" si="0"/>
        <v>4.6330589849108381E-8</v>
      </c>
    </row>
    <row r="45" spans="1:26" x14ac:dyDescent="0.25">
      <c r="A45" s="70" t="s">
        <v>522</v>
      </c>
      <c r="B45" s="4" t="s">
        <v>443</v>
      </c>
      <c r="C45" s="4" t="s">
        <v>186</v>
      </c>
      <c r="D45" s="4" t="s">
        <v>433</v>
      </c>
      <c r="E45" s="6">
        <v>65</v>
      </c>
      <c r="F45" s="4">
        <v>224</v>
      </c>
      <c r="G45" s="4">
        <v>1340</v>
      </c>
      <c r="H45" s="4">
        <v>400</v>
      </c>
      <c r="I45" s="4">
        <v>20</v>
      </c>
      <c r="J45" s="22">
        <v>40</v>
      </c>
      <c r="K45" s="30">
        <v>1.0000000000000001E-5</v>
      </c>
      <c r="L45" s="30">
        <v>4.0000000000000001E-8</v>
      </c>
      <c r="M45" s="51">
        <v>0.3</v>
      </c>
      <c r="N45" s="4">
        <v>70</v>
      </c>
      <c r="O45" s="25">
        <v>4890000</v>
      </c>
      <c r="P45" s="15">
        <v>2.78</v>
      </c>
      <c r="Q45" s="43" t="s">
        <v>675</v>
      </c>
      <c r="R45" s="46">
        <v>4.0000000000000001E-3</v>
      </c>
      <c r="S45" s="71">
        <v>0.92623999999999995</v>
      </c>
      <c r="T45">
        <v>1.82</v>
      </c>
      <c r="U45">
        <v>1.85</v>
      </c>
      <c r="V45">
        <v>0.539771</v>
      </c>
      <c r="W45">
        <v>10.8</v>
      </c>
      <c r="X45" s="25">
        <f t="shared" si="0"/>
        <v>2.0678571428571426E-6</v>
      </c>
    </row>
    <row r="46" spans="1:26" x14ac:dyDescent="0.25">
      <c r="A46" s="70" t="s">
        <v>523</v>
      </c>
      <c r="B46" s="4" t="s">
        <v>443</v>
      </c>
      <c r="C46" s="4" t="s">
        <v>186</v>
      </c>
      <c r="D46" s="4" t="s">
        <v>433</v>
      </c>
      <c r="E46" s="6">
        <v>65</v>
      </c>
      <c r="F46" s="4">
        <v>224</v>
      </c>
      <c r="G46" s="4">
        <v>1340</v>
      </c>
      <c r="H46" s="4">
        <v>400</v>
      </c>
      <c r="I46" s="4">
        <v>20</v>
      </c>
      <c r="J46" s="22">
        <v>40</v>
      </c>
      <c r="K46" s="30">
        <v>1.0000000000000001E-5</v>
      </c>
      <c r="L46" s="30">
        <v>4.0000000000000001E-8</v>
      </c>
      <c r="M46" s="51">
        <v>0.5</v>
      </c>
      <c r="N46" s="4">
        <v>70</v>
      </c>
      <c r="O46" s="25">
        <v>4890000</v>
      </c>
      <c r="P46" s="15">
        <v>2.78</v>
      </c>
      <c r="Q46" s="43" t="s">
        <v>675</v>
      </c>
      <c r="R46" s="46">
        <v>3.0000000000000001E-3</v>
      </c>
      <c r="S46" s="71">
        <v>0.55188700000000002</v>
      </c>
      <c r="T46">
        <v>2.4900000000000002</v>
      </c>
      <c r="U46">
        <v>2.62</v>
      </c>
      <c r="V46">
        <v>0.56610000000000005</v>
      </c>
      <c r="W46">
        <v>11.9</v>
      </c>
      <c r="X46" s="25">
        <f t="shared" si="0"/>
        <v>1.8763888888888886E-5</v>
      </c>
    </row>
    <row r="47" spans="1:26" x14ac:dyDescent="0.25">
      <c r="A47" s="70" t="s">
        <v>524</v>
      </c>
      <c r="B47" s="4" t="s">
        <v>443</v>
      </c>
      <c r="C47" s="4" t="s">
        <v>186</v>
      </c>
      <c r="D47" s="4" t="s">
        <v>433</v>
      </c>
      <c r="E47" s="6">
        <v>65</v>
      </c>
      <c r="F47" s="4">
        <v>224</v>
      </c>
      <c r="G47" s="4">
        <v>1340</v>
      </c>
      <c r="H47" s="4">
        <v>400</v>
      </c>
      <c r="I47" s="4">
        <v>20</v>
      </c>
      <c r="J47" s="22">
        <v>40</v>
      </c>
      <c r="K47" s="30">
        <v>1.0000000000000001E-5</v>
      </c>
      <c r="L47" s="30">
        <v>4.0000000000000001E-8</v>
      </c>
      <c r="M47" s="51">
        <v>0.7</v>
      </c>
      <c r="N47" s="4">
        <v>70</v>
      </c>
      <c r="O47" s="25">
        <v>4890000</v>
      </c>
      <c r="P47" s="15">
        <v>2.78</v>
      </c>
      <c r="Q47" s="43" t="s">
        <v>675</v>
      </c>
      <c r="R47" s="46">
        <v>2E-3</v>
      </c>
      <c r="S47" s="71">
        <v>0.46625299999999997</v>
      </c>
      <c r="T47">
        <v>3.42</v>
      </c>
      <c r="U47">
        <v>3.76</v>
      </c>
      <c r="V47">
        <v>0.54539899999999997</v>
      </c>
      <c r="W47">
        <v>12.75</v>
      </c>
      <c r="X47" s="25">
        <f t="shared" si="0"/>
        <v>1.4302253086419746E-4</v>
      </c>
    </row>
    <row r="48" spans="1:26" x14ac:dyDescent="0.25">
      <c r="A48" s="70" t="s">
        <v>577</v>
      </c>
      <c r="B48" s="4" t="s">
        <v>443</v>
      </c>
      <c r="C48" s="4" t="s">
        <v>186</v>
      </c>
      <c r="D48" s="4" t="s">
        <v>433</v>
      </c>
      <c r="E48" s="6">
        <v>65</v>
      </c>
      <c r="F48" s="4">
        <v>224</v>
      </c>
      <c r="G48" s="4">
        <v>1340</v>
      </c>
      <c r="H48" s="4">
        <v>400</v>
      </c>
      <c r="I48" s="4">
        <v>30</v>
      </c>
      <c r="J48" s="22">
        <v>40</v>
      </c>
      <c r="K48" s="30">
        <v>1.0000000000000001E-5</v>
      </c>
      <c r="L48" s="30">
        <v>4.0000000000000001E-8</v>
      </c>
      <c r="M48" s="51">
        <v>0.75</v>
      </c>
      <c r="N48" s="4">
        <v>70</v>
      </c>
      <c r="O48" s="25">
        <v>4890000</v>
      </c>
      <c r="P48" s="15">
        <v>2.78</v>
      </c>
      <c r="Q48" s="43" t="s">
        <v>675</v>
      </c>
      <c r="R48" s="46">
        <v>2E-3</v>
      </c>
      <c r="S48" s="71">
        <v>0.50410500000000003</v>
      </c>
      <c r="T48">
        <v>3.9</v>
      </c>
      <c r="U48">
        <v>7.72</v>
      </c>
      <c r="V48">
        <v>0.44700400000000001</v>
      </c>
      <c r="W48">
        <v>12.55</v>
      </c>
      <c r="X48" s="25">
        <f t="shared" si="0"/>
        <v>2.5331250000000001E-4</v>
      </c>
      <c r="Z48" t="s">
        <v>691</v>
      </c>
    </row>
    <row r="49" spans="1:26" x14ac:dyDescent="0.25">
      <c r="A49" s="70" t="s">
        <v>578</v>
      </c>
      <c r="B49" s="4" t="s">
        <v>443</v>
      </c>
      <c r="C49" s="4" t="s">
        <v>186</v>
      </c>
      <c r="D49" s="4" t="s">
        <v>433</v>
      </c>
      <c r="E49" s="6">
        <v>65</v>
      </c>
      <c r="F49" s="4">
        <v>224</v>
      </c>
      <c r="G49" s="4">
        <v>1340</v>
      </c>
      <c r="H49" s="4">
        <v>400</v>
      </c>
      <c r="I49" s="4">
        <v>40</v>
      </c>
      <c r="J49" s="22">
        <v>40</v>
      </c>
      <c r="K49" s="30">
        <v>1.0000000000000001E-5</v>
      </c>
      <c r="L49" s="30">
        <v>4.0000000000000001E-8</v>
      </c>
      <c r="M49" s="51">
        <v>0.8</v>
      </c>
      <c r="N49" s="4">
        <v>70</v>
      </c>
      <c r="O49" s="25">
        <v>4890000</v>
      </c>
      <c r="P49" s="15">
        <v>2.78</v>
      </c>
      <c r="Q49" s="43" t="s">
        <v>675</v>
      </c>
      <c r="R49" s="46">
        <v>2E-3</v>
      </c>
      <c r="S49" s="71">
        <v>0.66434099999999996</v>
      </c>
      <c r="T49">
        <v>4.4000000000000004</v>
      </c>
      <c r="U49">
        <v>4.72</v>
      </c>
      <c r="V49">
        <v>0.40394099999999999</v>
      </c>
      <c r="W49">
        <v>14.17</v>
      </c>
      <c r="X49" s="25">
        <f t="shared" ref="X49:X75" si="1">M49^3/(1-M49)^2/72*L49^2/K49*101325/0.006</f>
        <v>4.803555555555559E-4</v>
      </c>
      <c r="Z49" t="s">
        <v>692</v>
      </c>
    </row>
    <row r="50" spans="1:26" x14ac:dyDescent="0.25">
      <c r="A50" s="70" t="s">
        <v>596</v>
      </c>
      <c r="B50" s="4" t="s">
        <v>443</v>
      </c>
      <c r="C50" s="4" t="s">
        <v>186</v>
      </c>
      <c r="D50" s="4" t="s">
        <v>433</v>
      </c>
      <c r="E50" s="6">
        <v>65</v>
      </c>
      <c r="F50" s="4">
        <v>224</v>
      </c>
      <c r="G50" s="4">
        <v>1340</v>
      </c>
      <c r="H50" s="4">
        <v>400</v>
      </c>
      <c r="I50" s="4">
        <v>20</v>
      </c>
      <c r="J50" s="22">
        <v>40</v>
      </c>
      <c r="K50" s="30">
        <v>1.0000000000000001E-5</v>
      </c>
      <c r="L50" s="30">
        <v>4.0000000000000001E-8</v>
      </c>
      <c r="M50" s="51">
        <v>0.1</v>
      </c>
      <c r="N50" s="4">
        <v>80</v>
      </c>
      <c r="O50" s="25">
        <v>4890000</v>
      </c>
      <c r="P50" s="15">
        <v>2.78</v>
      </c>
      <c r="Q50" s="43" t="s">
        <v>675</v>
      </c>
      <c r="R50" s="46">
        <v>7.4999999999999997E-3</v>
      </c>
      <c r="S50" s="71">
        <v>1.3594980000000001</v>
      </c>
      <c r="T50" s="21">
        <v>0.99</v>
      </c>
      <c r="U50" s="21">
        <v>1.03</v>
      </c>
      <c r="V50" s="21">
        <v>0.56698800000000005</v>
      </c>
      <c r="W50" s="21">
        <v>16.52</v>
      </c>
      <c r="X50" s="25">
        <f t="shared" si="1"/>
        <v>4.6330589849108381E-8</v>
      </c>
      <c r="Y50" s="21"/>
      <c r="Z50" t="s">
        <v>688</v>
      </c>
    </row>
    <row r="51" spans="1:26" x14ac:dyDescent="0.25">
      <c r="A51" s="70" t="s">
        <v>597</v>
      </c>
      <c r="B51" s="4" t="s">
        <v>443</v>
      </c>
      <c r="C51" s="4" t="s">
        <v>186</v>
      </c>
      <c r="D51" s="4" t="s">
        <v>433</v>
      </c>
      <c r="E51" s="6">
        <v>65</v>
      </c>
      <c r="F51" s="4">
        <v>224</v>
      </c>
      <c r="G51" s="4">
        <v>1340</v>
      </c>
      <c r="H51" s="4">
        <v>400</v>
      </c>
      <c r="I51" s="4">
        <v>20</v>
      </c>
      <c r="J51" s="22">
        <v>40</v>
      </c>
      <c r="K51" s="30">
        <v>1.0000000000000001E-5</v>
      </c>
      <c r="L51" s="30">
        <v>4.0000000000000001E-8</v>
      </c>
      <c r="M51" s="51">
        <v>0.3</v>
      </c>
      <c r="N51" s="4">
        <v>80</v>
      </c>
      <c r="O51" s="25">
        <v>4890000</v>
      </c>
      <c r="P51" s="15">
        <v>2.78</v>
      </c>
      <c r="Q51" s="43" t="s">
        <v>675</v>
      </c>
      <c r="R51" s="46">
        <v>5.5999999999999999E-3</v>
      </c>
      <c r="S51" s="71">
        <v>1.2972900000000001</v>
      </c>
      <c r="T51">
        <v>1.32</v>
      </c>
      <c r="U51">
        <v>1.37</v>
      </c>
      <c r="V51">
        <v>0.56010199999999999</v>
      </c>
      <c r="W51">
        <v>15.73</v>
      </c>
      <c r="X51" s="25">
        <f t="shared" si="1"/>
        <v>2.0678571428571426E-6</v>
      </c>
      <c r="Z51" t="s">
        <v>688</v>
      </c>
    </row>
    <row r="52" spans="1:26" x14ac:dyDescent="0.25">
      <c r="A52" s="70" t="s">
        <v>598</v>
      </c>
      <c r="B52" s="4" t="s">
        <v>443</v>
      </c>
      <c r="C52" s="4" t="s">
        <v>186</v>
      </c>
      <c r="D52" s="4" t="s">
        <v>433</v>
      </c>
      <c r="E52" s="6">
        <v>65</v>
      </c>
      <c r="F52" s="4">
        <v>224</v>
      </c>
      <c r="G52" s="4">
        <v>1340</v>
      </c>
      <c r="H52" s="4">
        <v>400</v>
      </c>
      <c r="I52" s="4">
        <v>30</v>
      </c>
      <c r="J52" s="22">
        <v>40</v>
      </c>
      <c r="K52" s="30">
        <v>1.0000000000000001E-5</v>
      </c>
      <c r="L52" s="30">
        <v>4.0000000000000001E-8</v>
      </c>
      <c r="M52" s="51">
        <v>0.5</v>
      </c>
      <c r="N52" s="4">
        <v>80</v>
      </c>
      <c r="O52" s="25">
        <v>4890000</v>
      </c>
      <c r="P52" s="15">
        <v>2.78</v>
      </c>
      <c r="Q52" s="43" t="s">
        <v>675</v>
      </c>
      <c r="R52" s="46">
        <v>3.5999999999999999E-3</v>
      </c>
      <c r="S52" s="71">
        <v>1.755477</v>
      </c>
      <c r="T52">
        <v>1.51</v>
      </c>
      <c r="U52">
        <v>1.95</v>
      </c>
      <c r="V52">
        <v>0.361091</v>
      </c>
      <c r="W52">
        <v>9.1199999999999992</v>
      </c>
      <c r="X52" s="25">
        <f t="shared" si="1"/>
        <v>1.8763888888888886E-5</v>
      </c>
      <c r="Z52" t="s">
        <v>678</v>
      </c>
    </row>
    <row r="53" spans="1:26" x14ac:dyDescent="0.25">
      <c r="A53" s="80" t="s">
        <v>526</v>
      </c>
      <c r="C53" s="4"/>
      <c r="D53" s="4"/>
      <c r="E53" s="6"/>
      <c r="F53" s="4"/>
      <c r="G53" s="4"/>
      <c r="H53" s="4"/>
      <c r="I53" s="4"/>
      <c r="J53" s="22"/>
      <c r="K53" s="30"/>
      <c r="L53" s="30"/>
      <c r="M53" s="51"/>
      <c r="N53" s="4"/>
      <c r="O53" s="25"/>
      <c r="P53" s="15"/>
      <c r="Q53" s="43"/>
      <c r="R53" s="46"/>
      <c r="S53" s="72"/>
      <c r="X53" s="25"/>
    </row>
    <row r="54" spans="1:26" x14ac:dyDescent="0.25">
      <c r="A54" s="70" t="s">
        <v>527</v>
      </c>
      <c r="B54" s="4" t="s">
        <v>443</v>
      </c>
      <c r="C54" s="4" t="s">
        <v>186</v>
      </c>
      <c r="D54" s="4" t="s">
        <v>433</v>
      </c>
      <c r="E54" s="6">
        <v>65</v>
      </c>
      <c r="F54" s="4">
        <v>224</v>
      </c>
      <c r="G54" s="4">
        <v>1340</v>
      </c>
      <c r="H54" s="4">
        <v>400</v>
      </c>
      <c r="I54" s="4">
        <v>10</v>
      </c>
      <c r="J54" s="22">
        <v>40</v>
      </c>
      <c r="K54" s="30">
        <v>1E-4</v>
      </c>
      <c r="L54" s="30">
        <v>4.0000000000000001E-8</v>
      </c>
      <c r="M54" s="51">
        <v>0.1</v>
      </c>
      <c r="N54" s="4">
        <v>48</v>
      </c>
      <c r="O54" s="25">
        <v>4890000</v>
      </c>
      <c r="P54" s="15">
        <v>2.78</v>
      </c>
      <c r="Q54" s="43" t="s">
        <v>675</v>
      </c>
      <c r="R54" s="46">
        <v>2E-3</v>
      </c>
      <c r="S54" s="71">
        <v>0.16931199999999999</v>
      </c>
      <c r="T54" s="21">
        <v>2.75</v>
      </c>
      <c r="U54" s="21">
        <v>2.78</v>
      </c>
      <c r="V54" s="21">
        <v>0.49443500000000001</v>
      </c>
      <c r="W54" s="4">
        <v>3.86</v>
      </c>
      <c r="X54" s="25">
        <f>M54^3/(1-M54)^2/72*L54^2/K54*101325/0.006</f>
        <v>4.6330589849108391E-9</v>
      </c>
      <c r="Y54" s="21"/>
    </row>
    <row r="55" spans="1:26" x14ac:dyDescent="0.25">
      <c r="A55" s="70" t="s">
        <v>528</v>
      </c>
      <c r="B55" s="4" t="s">
        <v>443</v>
      </c>
      <c r="C55" s="4" t="s">
        <v>186</v>
      </c>
      <c r="D55" s="4" t="s">
        <v>433</v>
      </c>
      <c r="E55" s="6">
        <v>65</v>
      </c>
      <c r="F55" s="4">
        <v>224</v>
      </c>
      <c r="G55" s="4">
        <v>1340</v>
      </c>
      <c r="H55" s="4">
        <v>400</v>
      </c>
      <c r="I55" s="4">
        <v>10</v>
      </c>
      <c r="J55" s="22">
        <v>40</v>
      </c>
      <c r="K55" s="30">
        <v>1E-4</v>
      </c>
      <c r="L55" s="30">
        <v>4.0000000000000001E-8</v>
      </c>
      <c r="M55" s="51">
        <v>0.3</v>
      </c>
      <c r="N55" s="4">
        <v>48</v>
      </c>
      <c r="O55" s="25">
        <v>4890000</v>
      </c>
      <c r="P55" s="15">
        <v>2.78</v>
      </c>
      <c r="Q55" s="43" t="s">
        <v>675</v>
      </c>
      <c r="R55" s="46">
        <v>1.8E-3</v>
      </c>
      <c r="S55" s="71">
        <v>0.14289499999999999</v>
      </c>
      <c r="T55" s="21">
        <v>3.24</v>
      </c>
      <c r="U55" s="21">
        <v>3.28</v>
      </c>
      <c r="V55" s="21">
        <v>0.58846399999999999</v>
      </c>
      <c r="W55" s="4">
        <v>5.31</v>
      </c>
      <c r="X55" s="25">
        <f t="shared" si="1"/>
        <v>2.067857142857143E-7</v>
      </c>
      <c r="Y55" s="21"/>
    </row>
    <row r="56" spans="1:26" x14ac:dyDescent="0.25">
      <c r="A56" s="70" t="s">
        <v>529</v>
      </c>
      <c r="B56" s="4" t="s">
        <v>443</v>
      </c>
      <c r="C56" s="4" t="s">
        <v>186</v>
      </c>
      <c r="D56" s="4" t="s">
        <v>433</v>
      </c>
      <c r="E56" s="6">
        <v>65</v>
      </c>
      <c r="F56" s="4">
        <v>224</v>
      </c>
      <c r="G56" s="4">
        <v>1340</v>
      </c>
      <c r="H56" s="4">
        <v>400</v>
      </c>
      <c r="I56" s="4">
        <v>10</v>
      </c>
      <c r="J56" s="22">
        <v>40</v>
      </c>
      <c r="K56" s="30">
        <v>1E-4</v>
      </c>
      <c r="L56" s="30">
        <v>4.0000000000000001E-8</v>
      </c>
      <c r="M56" s="51">
        <v>0.5</v>
      </c>
      <c r="N56" s="4">
        <v>48</v>
      </c>
      <c r="O56" s="25">
        <v>4890000</v>
      </c>
      <c r="P56" s="15">
        <v>2.78</v>
      </c>
      <c r="Q56" s="43" t="s">
        <v>675</v>
      </c>
      <c r="R56" s="46">
        <v>1.5E-3</v>
      </c>
      <c r="S56" s="71">
        <v>0.110998</v>
      </c>
      <c r="T56" s="21">
        <v>4.0199999999999996</v>
      </c>
      <c r="U56" s="21">
        <v>4.1399999999999997</v>
      </c>
      <c r="V56" s="21">
        <v>0.56453500000000001</v>
      </c>
      <c r="W56" s="4">
        <v>5.95</v>
      </c>
      <c r="X56" s="25">
        <f t="shared" si="1"/>
        <v>1.8763888888888887E-6</v>
      </c>
      <c r="Y56" s="21"/>
    </row>
    <row r="57" spans="1:26" x14ac:dyDescent="0.25">
      <c r="A57" s="70" t="s">
        <v>530</v>
      </c>
      <c r="B57" s="4" t="s">
        <v>443</v>
      </c>
      <c r="C57" s="4" t="s">
        <v>186</v>
      </c>
      <c r="D57" s="4" t="s">
        <v>433</v>
      </c>
      <c r="E57" s="6">
        <v>65</v>
      </c>
      <c r="F57" s="4">
        <v>224</v>
      </c>
      <c r="G57" s="4">
        <v>1340</v>
      </c>
      <c r="H57" s="4">
        <v>400</v>
      </c>
      <c r="I57" s="4">
        <v>10</v>
      </c>
      <c r="J57" s="22">
        <v>40</v>
      </c>
      <c r="K57" s="30">
        <v>1E-4</v>
      </c>
      <c r="L57" s="30">
        <v>4.0000000000000001E-8</v>
      </c>
      <c r="M57" s="51">
        <v>0.7</v>
      </c>
      <c r="N57" s="4">
        <v>48</v>
      </c>
      <c r="O57" s="25">
        <v>4890000</v>
      </c>
      <c r="P57" s="15">
        <v>2.78</v>
      </c>
      <c r="Q57" s="43" t="s">
        <v>675</v>
      </c>
      <c r="R57" s="46">
        <v>1.1999999999999999E-3</v>
      </c>
      <c r="S57" s="71">
        <v>8.2122000000000001E-2</v>
      </c>
      <c r="T57" s="21">
        <v>5.37</v>
      </c>
      <c r="U57" s="21">
        <v>5.58</v>
      </c>
      <c r="V57" s="21">
        <v>0.57287100000000002</v>
      </c>
      <c r="W57" s="4">
        <v>8</v>
      </c>
      <c r="X57" s="25">
        <f t="shared" si="1"/>
        <v>1.4302253086419746E-5</v>
      </c>
      <c r="Y57" s="21"/>
    </row>
    <row r="58" spans="1:26" x14ac:dyDescent="0.25">
      <c r="A58" s="70" t="s">
        <v>531</v>
      </c>
      <c r="B58" s="4" t="s">
        <v>443</v>
      </c>
      <c r="C58" s="4" t="s">
        <v>186</v>
      </c>
      <c r="D58" s="4" t="s">
        <v>433</v>
      </c>
      <c r="E58" s="6">
        <v>65</v>
      </c>
      <c r="F58" s="4">
        <v>224</v>
      </c>
      <c r="G58" s="4">
        <v>1340</v>
      </c>
      <c r="H58" s="4">
        <v>400</v>
      </c>
      <c r="I58" s="4">
        <v>20</v>
      </c>
      <c r="J58" s="22">
        <v>40</v>
      </c>
      <c r="K58" s="30">
        <v>1E-4</v>
      </c>
      <c r="L58" s="30">
        <v>4.0000000000000001E-8</v>
      </c>
      <c r="M58" s="51">
        <v>0.9</v>
      </c>
      <c r="N58" s="4">
        <v>48</v>
      </c>
      <c r="O58" s="25">
        <v>4890000</v>
      </c>
      <c r="P58" s="15">
        <v>2.78</v>
      </c>
      <c r="Q58" s="43" t="s">
        <v>675</v>
      </c>
      <c r="R58" s="46">
        <v>5.9999999999999995E-4</v>
      </c>
      <c r="S58" s="71">
        <v>6.5079999999999999E-2</v>
      </c>
      <c r="T58" s="21">
        <v>9.7799999999999994</v>
      </c>
      <c r="U58" s="21">
        <v>10.050000000000001</v>
      </c>
      <c r="V58" s="21">
        <v>0.421709</v>
      </c>
      <c r="W58" s="4">
        <v>8.8699999999999992</v>
      </c>
      <c r="X58" s="25">
        <f t="shared" si="1"/>
        <v>2.7357750000000017E-4</v>
      </c>
      <c r="Y58" s="21"/>
      <c r="Z58" t="s">
        <v>678</v>
      </c>
    </row>
    <row r="59" spans="1:26" x14ac:dyDescent="0.25">
      <c r="A59" s="70" t="s">
        <v>532</v>
      </c>
      <c r="B59" s="4" t="s">
        <v>443</v>
      </c>
      <c r="C59" s="4" t="s">
        <v>186</v>
      </c>
      <c r="D59" s="4" t="s">
        <v>433</v>
      </c>
      <c r="E59" s="6">
        <v>65</v>
      </c>
      <c r="F59" s="4">
        <v>224</v>
      </c>
      <c r="G59" s="4">
        <v>1340</v>
      </c>
      <c r="H59" s="4">
        <v>400</v>
      </c>
      <c r="I59" s="4">
        <v>10</v>
      </c>
      <c r="J59" s="22">
        <v>40</v>
      </c>
      <c r="K59" s="30">
        <v>1E-3</v>
      </c>
      <c r="L59" s="30">
        <v>4.0000000000000001E-8</v>
      </c>
      <c r="M59" s="51">
        <v>0.1</v>
      </c>
      <c r="N59" s="4">
        <v>48</v>
      </c>
      <c r="O59" s="25">
        <v>4890000</v>
      </c>
      <c r="P59" s="15">
        <v>2.78</v>
      </c>
      <c r="Q59" s="43" t="s">
        <v>675</v>
      </c>
      <c r="R59" s="46">
        <v>2E-3</v>
      </c>
      <c r="S59" s="71">
        <v>0.16924400000000001</v>
      </c>
      <c r="T59" s="21">
        <v>2.74</v>
      </c>
      <c r="U59" s="21">
        <v>2.77</v>
      </c>
      <c r="V59" s="21">
        <v>0.49418800000000002</v>
      </c>
      <c r="W59" s="4">
        <v>3.86</v>
      </c>
      <c r="X59" s="25">
        <f t="shared" si="1"/>
        <v>4.6330589849108387E-10</v>
      </c>
      <c r="Y59" s="21"/>
    </row>
    <row r="60" spans="1:26" x14ac:dyDescent="0.25">
      <c r="A60" s="70" t="s">
        <v>533</v>
      </c>
      <c r="B60" s="4" t="s">
        <v>443</v>
      </c>
      <c r="C60" s="4" t="s">
        <v>186</v>
      </c>
      <c r="D60" s="4" t="s">
        <v>433</v>
      </c>
      <c r="E60" s="6">
        <v>65</v>
      </c>
      <c r="F60" s="4">
        <v>224</v>
      </c>
      <c r="G60" s="4">
        <v>1340</v>
      </c>
      <c r="H60" s="4">
        <v>400</v>
      </c>
      <c r="I60" s="4">
        <v>10</v>
      </c>
      <c r="J60" s="22">
        <v>40</v>
      </c>
      <c r="K60" s="30">
        <v>1E-3</v>
      </c>
      <c r="L60" s="30">
        <v>4.0000000000000001E-8</v>
      </c>
      <c r="M60" s="51">
        <v>0.3</v>
      </c>
      <c r="N60" s="4">
        <v>48</v>
      </c>
      <c r="O60" s="25">
        <v>4890000</v>
      </c>
      <c r="P60" s="15">
        <v>2.78</v>
      </c>
      <c r="Q60" s="43" t="s">
        <v>675</v>
      </c>
      <c r="R60" s="46">
        <v>1.8E-3</v>
      </c>
      <c r="S60" s="71">
        <v>0.14203099999999999</v>
      </c>
      <c r="T60" s="21">
        <v>3.1</v>
      </c>
      <c r="U60" s="21">
        <v>3.15</v>
      </c>
      <c r="V60" s="21">
        <v>0.59755499999999995</v>
      </c>
      <c r="W60" s="4">
        <v>5.4</v>
      </c>
      <c r="X60" s="25">
        <f t="shared" si="1"/>
        <v>2.0678571428571429E-8</v>
      </c>
      <c r="Y60" s="21"/>
    </row>
    <row r="61" spans="1:26" x14ac:dyDescent="0.25">
      <c r="A61" s="70" t="s">
        <v>534</v>
      </c>
      <c r="B61" s="4" t="s">
        <v>443</v>
      </c>
      <c r="C61" s="4" t="s">
        <v>186</v>
      </c>
      <c r="D61" s="4" t="s">
        <v>433</v>
      </c>
      <c r="E61" s="6">
        <v>65</v>
      </c>
      <c r="F61" s="4">
        <v>224</v>
      </c>
      <c r="G61" s="4">
        <v>1340</v>
      </c>
      <c r="H61" s="4">
        <v>400</v>
      </c>
      <c r="I61" s="4">
        <v>10</v>
      </c>
      <c r="J61" s="22">
        <v>40</v>
      </c>
      <c r="K61" s="30">
        <v>1E-3</v>
      </c>
      <c r="L61" s="30">
        <v>4.0000000000000001E-8</v>
      </c>
      <c r="M61" s="51">
        <v>0.5</v>
      </c>
      <c r="N61" s="4">
        <v>48</v>
      </c>
      <c r="O61" s="25">
        <v>4890000</v>
      </c>
      <c r="P61" s="15">
        <v>2.78</v>
      </c>
      <c r="Q61" s="43" t="s">
        <v>675</v>
      </c>
      <c r="R61" s="46">
        <v>1.5E-3</v>
      </c>
      <c r="S61" s="71">
        <v>0.109778</v>
      </c>
      <c r="T61" s="21">
        <v>3.64</v>
      </c>
      <c r="U61" s="21">
        <v>3.75</v>
      </c>
      <c r="V61" s="21">
        <v>0.59445400000000004</v>
      </c>
      <c r="W61" s="4">
        <v>6.26</v>
      </c>
      <c r="X61" s="25">
        <f t="shared" si="1"/>
        <v>1.8763888888888889E-7</v>
      </c>
      <c r="Y61" s="21"/>
    </row>
    <row r="62" spans="1:26" x14ac:dyDescent="0.25">
      <c r="A62" s="70" t="s">
        <v>535</v>
      </c>
      <c r="B62" s="4" t="s">
        <v>443</v>
      </c>
      <c r="C62" s="4" t="s">
        <v>186</v>
      </c>
      <c r="D62" s="4" t="s">
        <v>433</v>
      </c>
      <c r="E62" s="6">
        <v>65</v>
      </c>
      <c r="F62" s="4">
        <v>224</v>
      </c>
      <c r="G62" s="4">
        <v>1340</v>
      </c>
      <c r="H62" s="4">
        <v>400</v>
      </c>
      <c r="I62" s="4">
        <v>10</v>
      </c>
      <c r="J62" s="22">
        <v>40</v>
      </c>
      <c r="K62" s="30">
        <v>1E-3</v>
      </c>
      <c r="L62" s="30">
        <v>4.0000000000000001E-8</v>
      </c>
      <c r="M62" s="51">
        <v>0.7</v>
      </c>
      <c r="N62" s="4">
        <v>48</v>
      </c>
      <c r="O62" s="25">
        <v>4890000</v>
      </c>
      <c r="P62" s="15">
        <v>2.78</v>
      </c>
      <c r="Q62" s="43" t="s">
        <v>675</v>
      </c>
      <c r="R62" s="46">
        <v>1.1999999999999999E-3</v>
      </c>
      <c r="S62" s="71">
        <v>0.105013</v>
      </c>
      <c r="T62" s="21">
        <v>4.82</v>
      </c>
      <c r="U62" s="21">
        <v>4.9000000000000004</v>
      </c>
      <c r="V62" s="21">
        <v>0.49881500000000001</v>
      </c>
      <c r="W62" s="4">
        <v>7</v>
      </c>
      <c r="X62" s="25">
        <f t="shared" si="1"/>
        <v>1.4302253086419747E-6</v>
      </c>
      <c r="Y62" s="21"/>
      <c r="Z62" t="s">
        <v>678</v>
      </c>
    </row>
    <row r="63" spans="1:26" x14ac:dyDescent="0.25">
      <c r="A63" s="70" t="s">
        <v>536</v>
      </c>
      <c r="B63" s="4" t="s">
        <v>443</v>
      </c>
      <c r="C63" s="4" t="s">
        <v>186</v>
      </c>
      <c r="D63" s="4" t="s">
        <v>433</v>
      </c>
      <c r="E63" s="6">
        <v>65</v>
      </c>
      <c r="F63" s="4">
        <v>224</v>
      </c>
      <c r="G63" s="4">
        <v>1340</v>
      </c>
      <c r="H63" s="4">
        <v>400</v>
      </c>
      <c r="I63" s="4">
        <v>20</v>
      </c>
      <c r="J63" s="22">
        <v>40</v>
      </c>
      <c r="K63" s="30">
        <v>1E-3</v>
      </c>
      <c r="L63" s="30">
        <v>4.0000000000000001E-8</v>
      </c>
      <c r="M63" s="51">
        <v>0.9</v>
      </c>
      <c r="N63" s="4">
        <v>48</v>
      </c>
      <c r="O63" s="25">
        <v>4890000</v>
      </c>
      <c r="P63" s="15">
        <v>2.78</v>
      </c>
      <c r="Q63" s="43" t="s">
        <v>675</v>
      </c>
      <c r="R63" s="46">
        <v>7.2000000000000005E-4</v>
      </c>
      <c r="S63" s="71">
        <v>6.2400999999999998E-2</v>
      </c>
      <c r="T63" s="21">
        <v>8.25</v>
      </c>
      <c r="U63" s="21">
        <v>8.6</v>
      </c>
      <c r="V63" s="21">
        <v>0.51134299999999999</v>
      </c>
      <c r="W63" s="21">
        <v>12.92</v>
      </c>
      <c r="X63" s="25">
        <f t="shared" si="1"/>
        <v>2.7357750000000014E-5</v>
      </c>
      <c r="Y63" s="21"/>
      <c r="Z63" t="s">
        <v>678</v>
      </c>
    </row>
    <row r="64" spans="1:26" x14ac:dyDescent="0.25">
      <c r="A64" s="80" t="s">
        <v>549</v>
      </c>
      <c r="B64" s="4"/>
      <c r="C64" s="4"/>
      <c r="D64" s="4"/>
      <c r="E64" s="4"/>
      <c r="F64" s="4"/>
      <c r="G64" s="4"/>
      <c r="H64" s="4"/>
      <c r="I64" s="4"/>
      <c r="J64" s="22"/>
      <c r="K64" s="30"/>
      <c r="L64" s="30"/>
      <c r="M64" s="51"/>
      <c r="N64" s="4"/>
      <c r="O64" s="25"/>
      <c r="P64" s="15"/>
      <c r="Q64" s="43"/>
      <c r="R64" s="46"/>
      <c r="S64" s="71"/>
      <c r="T64" s="21"/>
      <c r="U64" s="21"/>
      <c r="V64" s="21"/>
      <c r="W64" s="21"/>
      <c r="X64" s="25"/>
      <c r="Y64" s="21"/>
    </row>
    <row r="65" spans="1:26" x14ac:dyDescent="0.25">
      <c r="A65" s="70" t="s">
        <v>550</v>
      </c>
      <c r="B65" s="4" t="s">
        <v>443</v>
      </c>
      <c r="C65" s="4" t="s">
        <v>186</v>
      </c>
      <c r="D65" s="4" t="s">
        <v>433</v>
      </c>
      <c r="E65" s="6">
        <v>65</v>
      </c>
      <c r="F65" s="4">
        <v>224</v>
      </c>
      <c r="G65" s="4">
        <v>1340</v>
      </c>
      <c r="H65" s="4">
        <v>400</v>
      </c>
      <c r="I65" s="4">
        <v>20</v>
      </c>
      <c r="J65" s="22">
        <v>40</v>
      </c>
      <c r="K65" s="30">
        <v>1.0000000000000001E-5</v>
      </c>
      <c r="L65" s="30">
        <v>4.0000000000000001E-8</v>
      </c>
      <c r="M65" s="51">
        <v>0.1</v>
      </c>
      <c r="N65" s="4">
        <v>48</v>
      </c>
      <c r="O65" s="25">
        <v>489000</v>
      </c>
      <c r="P65" s="15">
        <v>2.78</v>
      </c>
      <c r="Q65" s="43" t="s">
        <v>675</v>
      </c>
      <c r="R65" s="46">
        <v>6.4999999999999997E-3</v>
      </c>
      <c r="S65" s="71">
        <v>0.60066799999999998</v>
      </c>
      <c r="T65" s="21">
        <v>0.88</v>
      </c>
      <c r="U65" s="21">
        <v>0.92</v>
      </c>
      <c r="V65" s="21">
        <v>0.50040700000000005</v>
      </c>
      <c r="W65" s="21">
        <v>12.68</v>
      </c>
      <c r="X65" s="25">
        <f t="shared" si="1"/>
        <v>4.6330589849108381E-8</v>
      </c>
      <c r="Y65" s="21"/>
      <c r="Z65" t="s">
        <v>678</v>
      </c>
    </row>
    <row r="66" spans="1:26" x14ac:dyDescent="0.25">
      <c r="A66" s="70" t="s">
        <v>551</v>
      </c>
      <c r="B66" s="4" t="s">
        <v>443</v>
      </c>
      <c r="C66" s="4" t="s">
        <v>186</v>
      </c>
      <c r="D66" s="4" t="s">
        <v>433</v>
      </c>
      <c r="E66" s="6">
        <v>65</v>
      </c>
      <c r="F66" s="4">
        <v>224</v>
      </c>
      <c r="G66" s="4">
        <v>1340</v>
      </c>
      <c r="H66" s="4">
        <v>400</v>
      </c>
      <c r="I66" s="4">
        <v>20</v>
      </c>
      <c r="J66" s="22">
        <v>40</v>
      </c>
      <c r="K66" s="30">
        <v>1.0000000000000001E-5</v>
      </c>
      <c r="L66" s="30">
        <v>4.0000000000000001E-8</v>
      </c>
      <c r="M66" s="51">
        <v>0.3</v>
      </c>
      <c r="N66" s="4">
        <v>48</v>
      </c>
      <c r="O66" s="25">
        <v>489000</v>
      </c>
      <c r="P66" s="15">
        <v>2.78</v>
      </c>
      <c r="Q66" s="43" t="s">
        <v>675</v>
      </c>
      <c r="R66" s="46">
        <v>5.7999999999999996E-3</v>
      </c>
      <c r="S66" s="71">
        <v>0.55856300000000003</v>
      </c>
      <c r="T66" s="21">
        <v>1.1599999999999999</v>
      </c>
      <c r="U66" s="21">
        <v>1.22</v>
      </c>
      <c r="V66" s="21">
        <v>0.48821599999999998</v>
      </c>
      <c r="W66" s="21">
        <v>14.17</v>
      </c>
      <c r="X66" s="25">
        <f t="shared" si="1"/>
        <v>2.0678571428571426E-6</v>
      </c>
      <c r="Y66" s="21"/>
      <c r="Z66" t="s">
        <v>678</v>
      </c>
    </row>
    <row r="67" spans="1:26" x14ac:dyDescent="0.25">
      <c r="A67" s="70" t="s">
        <v>552</v>
      </c>
      <c r="B67" s="4" t="s">
        <v>443</v>
      </c>
      <c r="C67" s="4" t="s">
        <v>186</v>
      </c>
      <c r="D67" s="4" t="s">
        <v>433</v>
      </c>
      <c r="E67" s="6">
        <v>65</v>
      </c>
      <c r="F67" s="4">
        <v>224</v>
      </c>
      <c r="G67" s="4">
        <v>1340</v>
      </c>
      <c r="H67" s="4">
        <v>400</v>
      </c>
      <c r="I67" s="4">
        <v>20</v>
      </c>
      <c r="J67" s="22">
        <v>40</v>
      </c>
      <c r="K67" s="30">
        <v>1.0000000000000001E-5</v>
      </c>
      <c r="L67" s="30">
        <v>4.0000000000000001E-8</v>
      </c>
      <c r="M67" s="51">
        <v>0.5</v>
      </c>
      <c r="N67" s="4">
        <v>48</v>
      </c>
      <c r="O67" s="25">
        <v>489000</v>
      </c>
      <c r="P67" s="15">
        <v>2.78</v>
      </c>
      <c r="Q67" s="43" t="s">
        <v>675</v>
      </c>
      <c r="R67" s="46">
        <v>4.4999999999999997E-3</v>
      </c>
      <c r="S67" s="71">
        <v>0.50190500000000005</v>
      </c>
      <c r="T67" s="21">
        <v>1.52</v>
      </c>
      <c r="U67" s="21">
        <v>1.74</v>
      </c>
      <c r="V67" s="21">
        <v>0.47642800000000002</v>
      </c>
      <c r="W67" s="21">
        <v>15</v>
      </c>
      <c r="X67" s="25">
        <f t="shared" si="1"/>
        <v>1.8763888888888886E-5</v>
      </c>
      <c r="Y67" s="21"/>
      <c r="Z67" t="s">
        <v>678</v>
      </c>
    </row>
    <row r="68" spans="1:26" x14ac:dyDescent="0.25">
      <c r="A68" s="70" t="s">
        <v>553</v>
      </c>
      <c r="B68" s="4" t="s">
        <v>443</v>
      </c>
      <c r="C68" s="4" t="s">
        <v>186</v>
      </c>
      <c r="D68" s="4" t="s">
        <v>433</v>
      </c>
      <c r="E68" s="6">
        <v>65</v>
      </c>
      <c r="F68" s="4">
        <v>224</v>
      </c>
      <c r="G68" s="4">
        <v>1340</v>
      </c>
      <c r="H68" s="4">
        <v>400</v>
      </c>
      <c r="I68" s="4">
        <v>40</v>
      </c>
      <c r="J68" s="22">
        <v>40</v>
      </c>
      <c r="K68" s="30">
        <v>1.0000000000000001E-5</v>
      </c>
      <c r="L68" s="30">
        <v>4.0000000000000001E-8</v>
      </c>
      <c r="M68" s="51">
        <v>0.7</v>
      </c>
      <c r="N68" s="4">
        <v>48</v>
      </c>
      <c r="O68" s="25">
        <v>489000</v>
      </c>
      <c r="P68" s="15">
        <v>2.78</v>
      </c>
      <c r="Q68" s="43" t="s">
        <v>675</v>
      </c>
      <c r="R68" s="46">
        <v>3.3E-3</v>
      </c>
      <c r="S68" s="71">
        <v>0.78362200000000004</v>
      </c>
      <c r="T68" s="21">
        <v>2.17</v>
      </c>
      <c r="U68" s="21">
        <v>2.4500000000000002</v>
      </c>
      <c r="V68" s="21">
        <v>0.32446199999999997</v>
      </c>
      <c r="W68" s="21">
        <v>12.5</v>
      </c>
      <c r="X68" s="25">
        <f t="shared" si="1"/>
        <v>1.4302253086419746E-4</v>
      </c>
      <c r="Y68" s="21"/>
      <c r="Z68" t="s">
        <v>695</v>
      </c>
    </row>
    <row r="69" spans="1:26" x14ac:dyDescent="0.25">
      <c r="A69" s="70" t="s">
        <v>590</v>
      </c>
      <c r="B69" s="4" t="s">
        <v>443</v>
      </c>
      <c r="C69" s="4" t="s">
        <v>186</v>
      </c>
      <c r="D69" s="4" t="s">
        <v>433</v>
      </c>
      <c r="E69" s="6">
        <v>65</v>
      </c>
      <c r="F69" s="4">
        <v>224</v>
      </c>
      <c r="G69" s="4">
        <v>1340</v>
      </c>
      <c r="H69" s="4">
        <v>400</v>
      </c>
      <c r="I69" s="4">
        <v>40</v>
      </c>
      <c r="J69" s="22">
        <v>40</v>
      </c>
      <c r="K69" s="30">
        <v>1.0000000000000001E-5</v>
      </c>
      <c r="L69" s="30">
        <v>4.0000000000000001E-8</v>
      </c>
      <c r="M69" s="51">
        <v>0.75</v>
      </c>
      <c r="N69" s="4">
        <v>48</v>
      </c>
      <c r="O69" s="25">
        <v>489000</v>
      </c>
      <c r="P69" s="15">
        <v>2.78</v>
      </c>
      <c r="Q69" s="43" t="s">
        <v>675</v>
      </c>
      <c r="R69" s="46">
        <v>3.3E-3</v>
      </c>
      <c r="S69" s="71">
        <v>0.81484800000000002</v>
      </c>
      <c r="T69" s="21">
        <v>2.33</v>
      </c>
      <c r="U69" s="21">
        <v>2.85</v>
      </c>
      <c r="V69" s="21">
        <v>0.38647199999999998</v>
      </c>
      <c r="W69" s="21">
        <v>17.87</v>
      </c>
      <c r="X69" s="25">
        <f t="shared" si="1"/>
        <v>2.5331250000000001E-4</v>
      </c>
      <c r="Y69" s="21"/>
      <c r="Z69" t="s">
        <v>694</v>
      </c>
    </row>
    <row r="70" spans="1:26" x14ac:dyDescent="0.25">
      <c r="A70" s="70" t="s">
        <v>591</v>
      </c>
      <c r="B70" s="4" t="s">
        <v>443</v>
      </c>
      <c r="C70" s="4" t="s">
        <v>186</v>
      </c>
      <c r="D70" s="4" t="s">
        <v>433</v>
      </c>
      <c r="E70" s="6">
        <v>65</v>
      </c>
      <c r="F70" s="4">
        <v>224</v>
      </c>
      <c r="G70" s="4">
        <v>1340</v>
      </c>
      <c r="H70" s="4">
        <v>400</v>
      </c>
      <c r="I70" s="4">
        <v>40</v>
      </c>
      <c r="J70" s="22">
        <v>40</v>
      </c>
      <c r="K70" s="30">
        <v>1.0000000000000001E-5</v>
      </c>
      <c r="L70" s="30">
        <v>4.0000000000000001E-8</v>
      </c>
      <c r="M70" s="51">
        <v>0.8</v>
      </c>
      <c r="N70" s="4">
        <v>48</v>
      </c>
      <c r="O70" s="25">
        <v>489000</v>
      </c>
      <c r="P70" s="15">
        <v>2.78</v>
      </c>
      <c r="Q70" s="43" t="s">
        <v>675</v>
      </c>
      <c r="R70" s="46">
        <v>2.3E-3</v>
      </c>
      <c r="S70" s="71">
        <v>0.91900499999999996</v>
      </c>
      <c r="T70" s="21">
        <v>2.52</v>
      </c>
      <c r="U70" s="21">
        <v>2.74</v>
      </c>
      <c r="V70" s="21">
        <v>0.34695599999999999</v>
      </c>
      <c r="W70" s="21">
        <v>14</v>
      </c>
      <c r="X70" s="25">
        <f t="shared" si="1"/>
        <v>4.803555555555559E-4</v>
      </c>
      <c r="Y70" s="21"/>
      <c r="Z70" t="s">
        <v>694</v>
      </c>
    </row>
    <row r="71" spans="1:26" x14ac:dyDescent="0.25">
      <c r="A71" s="70" t="s">
        <v>557</v>
      </c>
      <c r="B71" s="4" t="s">
        <v>443</v>
      </c>
      <c r="C71" s="4" t="s">
        <v>186</v>
      </c>
      <c r="D71" s="4" t="s">
        <v>433</v>
      </c>
      <c r="E71" s="6">
        <v>65</v>
      </c>
      <c r="F71" s="4">
        <v>224</v>
      </c>
      <c r="G71" s="4">
        <v>1340</v>
      </c>
      <c r="H71" s="4">
        <v>400</v>
      </c>
      <c r="I71" s="4">
        <v>10</v>
      </c>
      <c r="J71" s="22">
        <v>40</v>
      </c>
      <c r="K71" s="30">
        <v>1.0000000000000001E-5</v>
      </c>
      <c r="L71" s="30">
        <v>4.0000000000000001E-8</v>
      </c>
      <c r="M71" s="51">
        <v>0.1</v>
      </c>
      <c r="N71" s="4">
        <v>48</v>
      </c>
      <c r="O71" s="25">
        <v>2440000</v>
      </c>
      <c r="P71" s="15">
        <v>2.78</v>
      </c>
      <c r="Q71" s="43" t="s">
        <v>675</v>
      </c>
      <c r="R71" s="46">
        <v>3.0000000000000001E-3</v>
      </c>
      <c r="S71" s="71">
        <v>0.20343800000000001</v>
      </c>
      <c r="T71" s="21">
        <v>1.98</v>
      </c>
      <c r="U71" s="21">
        <v>2.06</v>
      </c>
      <c r="V71" s="21">
        <v>0.59472499999999995</v>
      </c>
      <c r="W71" s="4">
        <v>6.96</v>
      </c>
      <c r="X71" s="25">
        <f t="shared" si="1"/>
        <v>4.6330589849108381E-8</v>
      </c>
      <c r="Y71" s="21"/>
    </row>
    <row r="72" spans="1:26" x14ac:dyDescent="0.25">
      <c r="A72" s="70" t="s">
        <v>558</v>
      </c>
      <c r="B72" s="4" t="s">
        <v>443</v>
      </c>
      <c r="C72" s="4" t="s">
        <v>186</v>
      </c>
      <c r="D72" s="4" t="s">
        <v>433</v>
      </c>
      <c r="E72" s="6">
        <v>65</v>
      </c>
      <c r="F72" s="4">
        <v>224</v>
      </c>
      <c r="G72" s="4">
        <v>1340</v>
      </c>
      <c r="H72" s="4">
        <v>400</v>
      </c>
      <c r="I72" s="4">
        <v>10</v>
      </c>
      <c r="J72" s="22">
        <v>40</v>
      </c>
      <c r="K72" s="30">
        <v>1.0000000000000001E-5</v>
      </c>
      <c r="L72" s="30">
        <v>4.0000000000000001E-8</v>
      </c>
      <c r="M72" s="51">
        <v>0.3</v>
      </c>
      <c r="N72" s="4">
        <v>48</v>
      </c>
      <c r="O72" s="25">
        <v>2440000</v>
      </c>
      <c r="P72" s="15">
        <v>2.78</v>
      </c>
      <c r="Q72" s="43" t="s">
        <v>675</v>
      </c>
      <c r="R72" s="46">
        <v>2.3999999999999998E-3</v>
      </c>
      <c r="S72" s="71">
        <v>0.18379200000000001</v>
      </c>
      <c r="T72" s="21">
        <v>2.65</v>
      </c>
      <c r="U72" s="21">
        <v>2.72</v>
      </c>
      <c r="V72" s="21">
        <v>0.58433800000000002</v>
      </c>
      <c r="W72" s="4">
        <v>7.03</v>
      </c>
      <c r="X72" s="25">
        <f t="shared" si="1"/>
        <v>2.0678571428571426E-6</v>
      </c>
      <c r="Y72" s="21"/>
    </row>
    <row r="73" spans="1:26" x14ac:dyDescent="0.25">
      <c r="A73" s="70" t="s">
        <v>559</v>
      </c>
      <c r="B73" s="4" t="s">
        <v>443</v>
      </c>
      <c r="C73" s="4" t="s">
        <v>186</v>
      </c>
      <c r="D73" s="4" t="s">
        <v>433</v>
      </c>
      <c r="E73" s="6">
        <v>65</v>
      </c>
      <c r="F73" s="4">
        <v>224</v>
      </c>
      <c r="G73" s="4">
        <v>1340</v>
      </c>
      <c r="H73" s="4">
        <v>400</v>
      </c>
      <c r="I73" s="4">
        <v>20</v>
      </c>
      <c r="J73" s="22">
        <v>40</v>
      </c>
      <c r="K73" s="30">
        <v>1.0000000000000001E-5</v>
      </c>
      <c r="L73" s="30">
        <v>4.0000000000000001E-8</v>
      </c>
      <c r="M73" s="51">
        <v>0.5</v>
      </c>
      <c r="N73" s="4">
        <v>48</v>
      </c>
      <c r="O73" s="25">
        <v>2440000</v>
      </c>
      <c r="P73" s="15">
        <v>2.78</v>
      </c>
      <c r="Q73" s="43" t="s">
        <v>675</v>
      </c>
      <c r="R73" s="46">
        <v>1.8E-3</v>
      </c>
      <c r="S73" s="71">
        <v>0.30452400000000002</v>
      </c>
      <c r="T73" s="21">
        <v>3.61</v>
      </c>
      <c r="U73" s="21">
        <v>3.73</v>
      </c>
      <c r="V73" s="21">
        <v>0.55969599999999997</v>
      </c>
      <c r="W73" s="21">
        <v>7.07</v>
      </c>
      <c r="X73" s="25">
        <f t="shared" si="1"/>
        <v>1.8763888888888886E-5</v>
      </c>
      <c r="Y73" s="21"/>
      <c r="Z73" t="s">
        <v>689</v>
      </c>
    </row>
    <row r="74" spans="1:26" x14ac:dyDescent="0.25">
      <c r="A74" s="70" t="s">
        <v>560</v>
      </c>
      <c r="B74" s="4" t="s">
        <v>443</v>
      </c>
      <c r="C74" s="4" t="s">
        <v>186</v>
      </c>
      <c r="D74" s="4" t="s">
        <v>433</v>
      </c>
      <c r="E74" s="6">
        <v>65</v>
      </c>
      <c r="F74" s="4">
        <v>224</v>
      </c>
      <c r="G74" s="4">
        <v>1340</v>
      </c>
      <c r="H74" s="4">
        <v>400</v>
      </c>
      <c r="I74" s="4">
        <v>20</v>
      </c>
      <c r="J74" s="22">
        <v>40</v>
      </c>
      <c r="K74" s="30">
        <v>1.0000000000000001E-5</v>
      </c>
      <c r="L74" s="30">
        <v>4.0000000000000001E-8</v>
      </c>
      <c r="M74" s="51">
        <v>0.7</v>
      </c>
      <c r="N74" s="4">
        <v>48</v>
      </c>
      <c r="O74" s="25">
        <v>2440000</v>
      </c>
      <c r="P74" s="15">
        <v>2.78</v>
      </c>
      <c r="Q74" s="43" t="s">
        <v>675</v>
      </c>
      <c r="R74" s="46">
        <v>1.1999999999999999E-3</v>
      </c>
      <c r="S74" s="71">
        <v>0.15563399999999999</v>
      </c>
      <c r="T74" s="21">
        <v>5.0599999999999996</v>
      </c>
      <c r="U74" s="21">
        <v>5.31</v>
      </c>
      <c r="V74" s="21">
        <v>0.55998000000000003</v>
      </c>
      <c r="W74" s="4">
        <v>7.86</v>
      </c>
      <c r="X74" s="25">
        <f t="shared" si="1"/>
        <v>1.4302253086419746E-4</v>
      </c>
      <c r="Y74" s="21"/>
      <c r="Z74" t="s">
        <v>689</v>
      </c>
    </row>
    <row r="75" spans="1:26" x14ac:dyDescent="0.25">
      <c r="A75" s="70" t="s">
        <v>561</v>
      </c>
      <c r="B75" s="4" t="s">
        <v>443</v>
      </c>
      <c r="C75" s="4" t="s">
        <v>186</v>
      </c>
      <c r="D75" s="4" t="s">
        <v>433</v>
      </c>
      <c r="E75" s="6">
        <v>65</v>
      </c>
      <c r="F75" s="4">
        <v>224</v>
      </c>
      <c r="G75" s="4">
        <v>1340</v>
      </c>
      <c r="H75" s="4">
        <v>400</v>
      </c>
      <c r="I75" s="4">
        <v>20</v>
      </c>
      <c r="J75" s="22">
        <v>40</v>
      </c>
      <c r="K75" s="30">
        <v>1.0000000000000001E-5</v>
      </c>
      <c r="L75" s="30">
        <v>4.0000000000000001E-8</v>
      </c>
      <c r="M75" s="51">
        <v>0.9</v>
      </c>
      <c r="N75" s="4">
        <v>48</v>
      </c>
      <c r="O75" s="25">
        <v>2440000</v>
      </c>
      <c r="P75" s="15">
        <v>2.78</v>
      </c>
      <c r="Q75" s="43" t="s">
        <v>675</v>
      </c>
      <c r="R75" s="46">
        <v>8.0000000000000004E-4</v>
      </c>
      <c r="S75" s="71">
        <v>0.113746</v>
      </c>
      <c r="T75" s="21">
        <v>8.75</v>
      </c>
      <c r="U75" s="21">
        <v>11.27</v>
      </c>
      <c r="V75" s="21">
        <v>0.41868899999999998</v>
      </c>
      <c r="W75" s="4">
        <v>11.72</v>
      </c>
      <c r="X75" s="25">
        <f t="shared" si="1"/>
        <v>2.7357750000000011E-3</v>
      </c>
      <c r="Y75" s="21"/>
      <c r="Z75" t="s">
        <v>693</v>
      </c>
    </row>
    <row r="76" spans="1:26" x14ac:dyDescent="0.25">
      <c r="A76" s="70"/>
      <c r="B76" s="4"/>
      <c r="C76" s="4"/>
      <c r="D76" s="4"/>
      <c r="E76" s="4"/>
      <c r="F76" s="4"/>
      <c r="G76" s="4"/>
      <c r="H76" s="4"/>
      <c r="I76" s="4"/>
      <c r="J76" s="22"/>
      <c r="K76" s="30"/>
      <c r="L76" s="30"/>
      <c r="M76" s="51"/>
      <c r="N76" s="4"/>
      <c r="O76" s="25"/>
      <c r="P76" s="15"/>
      <c r="Q76" s="43"/>
      <c r="R76" s="46"/>
      <c r="S76" s="71"/>
      <c r="T76" s="21"/>
      <c r="U76" s="21"/>
      <c r="V76" s="21"/>
      <c r="W76" s="21"/>
      <c r="X76" s="21"/>
      <c r="Y76" s="21"/>
    </row>
    <row r="77" spans="1:26" x14ac:dyDescent="0.25">
      <c r="A77" s="80" t="s">
        <v>605</v>
      </c>
      <c r="B77" s="4"/>
      <c r="C77" s="4"/>
      <c r="D77" s="4"/>
      <c r="E77" s="4"/>
      <c r="F77" s="4"/>
      <c r="G77" s="4"/>
      <c r="H77" s="4"/>
      <c r="I77" s="4"/>
      <c r="J77" s="22"/>
      <c r="K77" s="30"/>
      <c r="L77" s="30"/>
      <c r="M77" s="51"/>
      <c r="N77" s="4"/>
      <c r="O77" s="25"/>
      <c r="P77" s="15"/>
      <c r="Q77" s="43"/>
      <c r="R77" s="46"/>
      <c r="S77" s="71"/>
      <c r="T77" s="21"/>
      <c r="U77" s="21"/>
      <c r="V77" s="21"/>
      <c r="W77" s="21"/>
      <c r="X77" s="21"/>
      <c r="Y77" s="21"/>
    </row>
    <row r="78" spans="1:26" x14ac:dyDescent="0.25">
      <c r="A78" s="38" t="s">
        <v>672</v>
      </c>
      <c r="B78" s="4" t="s">
        <v>443</v>
      </c>
      <c r="C78" s="4" t="s">
        <v>186</v>
      </c>
      <c r="D78" s="4" t="s">
        <v>433</v>
      </c>
      <c r="E78" s="6">
        <v>65</v>
      </c>
      <c r="F78" s="4">
        <v>200</v>
      </c>
      <c r="G78" s="4">
        <v>1200</v>
      </c>
      <c r="H78" s="4">
        <v>400</v>
      </c>
      <c r="I78" s="4">
        <v>10</v>
      </c>
      <c r="J78" s="22">
        <v>30</v>
      </c>
      <c r="K78" s="30">
        <v>1.0000000000000001E-5</v>
      </c>
      <c r="L78" s="30">
        <v>9.9999999999999995E-7</v>
      </c>
      <c r="M78" s="51">
        <v>0.3</v>
      </c>
      <c r="N78" s="4">
        <v>48</v>
      </c>
      <c r="O78" s="25">
        <v>4890000</v>
      </c>
      <c r="P78" s="15">
        <v>2.78</v>
      </c>
      <c r="Q78" s="43">
        <v>1E-8</v>
      </c>
      <c r="R78" s="46">
        <v>1E-3</v>
      </c>
      <c r="S78" s="71">
        <v>0.27943200000000001</v>
      </c>
      <c r="T78" s="21">
        <v>6.86</v>
      </c>
      <c r="U78" s="21">
        <v>7.16</v>
      </c>
      <c r="V78" s="21">
        <v>0.79571000000000003</v>
      </c>
      <c r="W78" s="21"/>
      <c r="X78" s="25">
        <f t="shared" ref="X78:X79" si="2">M78^3/(1-M78)^2/72*L78^2/K78*101325/0.006</f>
        <v>1.2924107142857143E-3</v>
      </c>
      <c r="Y78" s="21"/>
      <c r="Z78" t="s">
        <v>606</v>
      </c>
    </row>
    <row r="79" spans="1:26" x14ac:dyDescent="0.25">
      <c r="A79" s="38" t="s">
        <v>610</v>
      </c>
      <c r="B79" s="4" t="s">
        <v>443</v>
      </c>
      <c r="C79" s="4" t="s">
        <v>186</v>
      </c>
      <c r="D79" s="4" t="s">
        <v>433</v>
      </c>
      <c r="E79" s="6">
        <v>65</v>
      </c>
      <c r="F79" s="4">
        <v>140</v>
      </c>
      <c r="G79" s="4">
        <v>850</v>
      </c>
      <c r="H79" s="4">
        <v>400</v>
      </c>
      <c r="I79" s="4">
        <v>10</v>
      </c>
      <c r="J79" s="22">
        <v>25</v>
      </c>
      <c r="K79" s="30">
        <v>1.0000000000000001E-5</v>
      </c>
      <c r="L79" s="30">
        <v>9.9999999999999995E-7</v>
      </c>
      <c r="M79" s="51">
        <v>0.3</v>
      </c>
      <c r="N79" s="4">
        <v>48</v>
      </c>
      <c r="O79" s="25">
        <v>4890000</v>
      </c>
      <c r="P79" s="15">
        <v>2.78</v>
      </c>
      <c r="Q79" s="43">
        <v>1E-8</v>
      </c>
      <c r="R79" s="46">
        <v>1E-3</v>
      </c>
      <c r="S79" s="71">
        <v>0.17893100000000001</v>
      </c>
      <c r="T79" s="21">
        <v>6.76</v>
      </c>
      <c r="U79" s="21">
        <v>7.04</v>
      </c>
      <c r="V79" s="21">
        <v>0.37346299999999999</v>
      </c>
      <c r="W79" s="25">
        <v>191000000</v>
      </c>
      <c r="X79" s="25">
        <f t="shared" si="2"/>
        <v>1.2924107142857143E-3</v>
      </c>
      <c r="Y79" s="25"/>
      <c r="Z79" t="s">
        <v>611</v>
      </c>
    </row>
    <row r="80" spans="1:26" x14ac:dyDescent="0.25">
      <c r="A80" s="38" t="s">
        <v>674</v>
      </c>
      <c r="B80" s="4" t="s">
        <v>443</v>
      </c>
      <c r="C80" s="4" t="s">
        <v>186</v>
      </c>
      <c r="D80" s="4" t="s">
        <v>433</v>
      </c>
      <c r="E80" s="6">
        <v>65</v>
      </c>
      <c r="F80" s="4">
        <v>224</v>
      </c>
      <c r="G80" s="4">
        <v>1341</v>
      </c>
      <c r="H80" s="4">
        <v>400</v>
      </c>
      <c r="I80" s="4">
        <v>10</v>
      </c>
      <c r="J80" s="22">
        <v>40</v>
      </c>
      <c r="K80" s="30">
        <v>1.0000000000000001E-5</v>
      </c>
      <c r="L80" s="30">
        <v>9.9999999999999995E-7</v>
      </c>
      <c r="M80" s="51">
        <v>0.3</v>
      </c>
      <c r="N80" s="4">
        <v>48</v>
      </c>
      <c r="O80" s="25">
        <v>4890000</v>
      </c>
      <c r="P80" s="15">
        <v>2.78</v>
      </c>
      <c r="Q80" s="43">
        <v>1E-8</v>
      </c>
      <c r="R80" s="46">
        <v>1E-3</v>
      </c>
      <c r="S80" s="71">
        <v>0.156199</v>
      </c>
      <c r="T80" s="21">
        <v>6.83</v>
      </c>
      <c r="U80" s="21">
        <v>8.59</v>
      </c>
      <c r="V80" s="21">
        <v>1.1559029999999999</v>
      </c>
      <c r="W80" s="21"/>
      <c r="X80" s="21"/>
      <c r="Y80" s="21"/>
      <c r="Z80" t="s">
        <v>673</v>
      </c>
    </row>
    <row r="81" spans="1:26" x14ac:dyDescent="0.25">
      <c r="A81" s="38" t="s">
        <v>331</v>
      </c>
      <c r="B81" s="4" t="s">
        <v>443</v>
      </c>
      <c r="C81" s="4" t="s">
        <v>186</v>
      </c>
      <c r="D81" s="4" t="s">
        <v>433</v>
      </c>
      <c r="E81" s="6">
        <v>65</v>
      </c>
      <c r="F81" s="4">
        <v>100</v>
      </c>
      <c r="G81" s="4">
        <v>600</v>
      </c>
      <c r="H81" s="4">
        <v>400</v>
      </c>
      <c r="I81" s="4">
        <v>10</v>
      </c>
      <c r="J81" s="22">
        <v>15</v>
      </c>
      <c r="K81" s="30">
        <v>1.0000000000000001E-5</v>
      </c>
      <c r="L81" s="30">
        <v>9.9999999999999995E-7</v>
      </c>
      <c r="M81" s="51">
        <v>0.3</v>
      </c>
      <c r="N81" s="4">
        <v>48</v>
      </c>
      <c r="O81" s="25">
        <v>4890000</v>
      </c>
      <c r="P81" s="15">
        <v>2.78</v>
      </c>
      <c r="Q81" s="43">
        <v>1E-8</v>
      </c>
      <c r="R81" s="46">
        <v>1E-3</v>
      </c>
      <c r="S81" s="71">
        <v>0.19134000000000001</v>
      </c>
      <c r="T81" s="37">
        <v>6.93</v>
      </c>
      <c r="U81">
        <v>6.91</v>
      </c>
      <c r="V81">
        <v>0.16267000000000001</v>
      </c>
      <c r="W81" s="2">
        <v>186000000</v>
      </c>
      <c r="X81" s="25">
        <f t="shared" ref="X81" si="3">M81^3/(1-M81)^2/72*L81^2/K81*101325/0.006</f>
        <v>1.2924107142857143E-3</v>
      </c>
      <c r="Y81" s="21"/>
      <c r="Z81" t="s">
        <v>477</v>
      </c>
    </row>
    <row r="82" spans="1:26" x14ac:dyDescent="0.25">
      <c r="A82" s="27"/>
      <c r="P82" s="3"/>
    </row>
  </sheetData>
  <phoneticPr fontId="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IgnWaveData">
                <anchor moveWithCells="1" sizeWithCells="1">
                  <from>
                    <xdr:col>20</xdr:col>
                    <xdr:colOff>400050</xdr:colOff>
                    <xdr:row>0</xdr:row>
                    <xdr:rowOff>28575</xdr:rowOff>
                  </from>
                  <to>
                    <xdr:col>21</xdr:col>
                    <xdr:colOff>495300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E568B-3744-4C31-902D-5B6E8133C9BD}">
  <sheetPr codeName="Sheet5"/>
  <dimension ref="A1:CK152"/>
  <sheetViews>
    <sheetView tabSelected="1" topLeftCell="BS34" zoomScaleNormal="100" workbookViewId="0">
      <selection activeCell="CJ44" sqref="CJ44"/>
    </sheetView>
  </sheetViews>
  <sheetFormatPr defaultRowHeight="15" x14ac:dyDescent="0.25"/>
  <cols>
    <col min="12" max="12" width="14.140625" bestFit="1" customWidth="1"/>
    <col min="23" max="23" width="9.7109375" customWidth="1"/>
    <col min="31" max="31" width="12.5703125" bestFit="1" customWidth="1"/>
    <col min="55" max="55" width="10.5703125" bestFit="1" customWidth="1"/>
    <col min="68" max="68" width="14.42578125" bestFit="1" customWidth="1"/>
    <col min="85" max="85" width="9.5703125" bestFit="1" customWidth="1"/>
    <col min="88" max="88" width="10.28515625" bestFit="1" customWidth="1"/>
  </cols>
  <sheetData>
    <row r="1" spans="1:1" ht="23.25" x14ac:dyDescent="0.35">
      <c r="A1" s="56" t="s">
        <v>365</v>
      </c>
    </row>
    <row r="21" spans="21:21" x14ac:dyDescent="0.25">
      <c r="U21" t="s">
        <v>143</v>
      </c>
    </row>
    <row r="38" spans="1:89" x14ac:dyDescent="0.25">
      <c r="CD38" t="s">
        <v>659</v>
      </c>
      <c r="CE38" s="2">
        <v>9.7900000000000003E-9</v>
      </c>
    </row>
    <row r="39" spans="1:89" x14ac:dyDescent="0.25">
      <c r="CD39" t="s">
        <v>660</v>
      </c>
      <c r="CE39" s="2">
        <v>3.9199999999999997E-9</v>
      </c>
      <c r="CI39" t="s">
        <v>700</v>
      </c>
      <c r="CJ39" t="s">
        <v>701</v>
      </c>
    </row>
    <row r="40" spans="1:89" x14ac:dyDescent="0.25">
      <c r="CH40" t="s">
        <v>702</v>
      </c>
      <c r="CI40">
        <v>208</v>
      </c>
      <c r="CJ40">
        <v>520</v>
      </c>
    </row>
    <row r="41" spans="1:89" ht="23.25" x14ac:dyDescent="0.35">
      <c r="C41" s="56" t="s">
        <v>368</v>
      </c>
      <c r="H41" s="56" t="s">
        <v>358</v>
      </c>
      <c r="BT41" s="56" t="s">
        <v>368</v>
      </c>
      <c r="BZ41" t="s">
        <v>654</v>
      </c>
      <c r="CE41" s="67" t="s">
        <v>670</v>
      </c>
      <c r="CH41" t="s">
        <v>703</v>
      </c>
      <c r="CI41">
        <v>260</v>
      </c>
      <c r="CJ41">
        <v>1238</v>
      </c>
    </row>
    <row r="42" spans="1:89" x14ac:dyDescent="0.25">
      <c r="A42" s="96" t="s">
        <v>658</v>
      </c>
      <c r="X42" t="s">
        <v>662</v>
      </c>
      <c r="BT42" s="96" t="s">
        <v>657</v>
      </c>
      <c r="CD42" s="12" t="s">
        <v>656</v>
      </c>
      <c r="CE42" s="12" t="s">
        <v>655</v>
      </c>
    </row>
    <row r="43" spans="1:89" x14ac:dyDescent="0.25">
      <c r="B43" t="s">
        <v>371</v>
      </c>
      <c r="C43" t="s">
        <v>363</v>
      </c>
      <c r="D43" t="s">
        <v>174</v>
      </c>
      <c r="E43" t="s">
        <v>361</v>
      </c>
      <c r="F43" t="s">
        <v>369</v>
      </c>
      <c r="G43" t="s">
        <v>372</v>
      </c>
      <c r="H43" t="s">
        <v>477</v>
      </c>
      <c r="I43" t="s">
        <v>360</v>
      </c>
      <c r="J43" t="s">
        <v>363</v>
      </c>
      <c r="K43" t="s">
        <v>174</v>
      </c>
      <c r="L43" t="s">
        <v>393</v>
      </c>
      <c r="M43" s="8" t="s">
        <v>394</v>
      </c>
      <c r="N43" s="4" t="s">
        <v>582</v>
      </c>
      <c r="O43" s="4" t="s">
        <v>583</v>
      </c>
      <c r="P43" s="78" t="s">
        <v>359</v>
      </c>
      <c r="Q43" s="8" t="s">
        <v>360</v>
      </c>
      <c r="R43" s="8" t="s">
        <v>363</v>
      </c>
      <c r="S43" s="8" t="s">
        <v>174</v>
      </c>
      <c r="T43" s="8" t="s">
        <v>393</v>
      </c>
      <c r="U43" s="8" t="s">
        <v>661</v>
      </c>
      <c r="V43" s="4" t="s">
        <v>582</v>
      </c>
      <c r="W43" s="3" t="s">
        <v>583</v>
      </c>
      <c r="Y43" t="s">
        <v>360</v>
      </c>
      <c r="Z43" t="s">
        <v>363</v>
      </c>
      <c r="AA43" t="s">
        <v>174</v>
      </c>
      <c r="AB43" t="s">
        <v>393</v>
      </c>
      <c r="AC43" s="8" t="s">
        <v>661</v>
      </c>
      <c r="AD43" s="4" t="s">
        <v>582</v>
      </c>
      <c r="AE43" s="3" t="s">
        <v>583</v>
      </c>
      <c r="AF43" t="s">
        <v>267</v>
      </c>
      <c r="AG43" t="s">
        <v>360</v>
      </c>
      <c r="AH43" t="s">
        <v>363</v>
      </c>
      <c r="AI43" t="s">
        <v>174</v>
      </c>
      <c r="AJ43" t="s">
        <v>393</v>
      </c>
      <c r="AK43" s="8" t="s">
        <v>394</v>
      </c>
      <c r="AL43" s="4" t="s">
        <v>570</v>
      </c>
      <c r="AM43" s="3" t="s">
        <v>571</v>
      </c>
      <c r="AN43" s="8" t="s">
        <v>4</v>
      </c>
      <c r="AO43" t="s">
        <v>360</v>
      </c>
      <c r="AP43" t="s">
        <v>363</v>
      </c>
      <c r="AQ43" t="s">
        <v>174</v>
      </c>
      <c r="AR43" t="s">
        <v>393</v>
      </c>
      <c r="AS43" s="8" t="s">
        <v>661</v>
      </c>
      <c r="AT43" s="4" t="s">
        <v>582</v>
      </c>
      <c r="AU43" s="3" t="s">
        <v>583</v>
      </c>
      <c r="AV43" s="8" t="s">
        <v>164</v>
      </c>
      <c r="AW43" t="s">
        <v>360</v>
      </c>
      <c r="AX43" t="s">
        <v>363</v>
      </c>
      <c r="AY43" t="s">
        <v>174</v>
      </c>
      <c r="AZ43" t="s">
        <v>393</v>
      </c>
      <c r="BA43" s="8" t="s">
        <v>661</v>
      </c>
      <c r="BB43" s="4" t="s">
        <v>582</v>
      </c>
      <c r="BC43" s="3" t="s">
        <v>583</v>
      </c>
      <c r="BD43" t="s">
        <v>463</v>
      </c>
      <c r="BE43" t="s">
        <v>360</v>
      </c>
      <c r="BF43" t="s">
        <v>363</v>
      </c>
      <c r="BG43" t="s">
        <v>174</v>
      </c>
      <c r="BH43" t="s">
        <v>393</v>
      </c>
      <c r="BI43" s="8" t="s">
        <v>394</v>
      </c>
      <c r="BJ43" s="4" t="s">
        <v>570</v>
      </c>
      <c r="BK43" s="3" t="s">
        <v>571</v>
      </c>
      <c r="BL43" s="4" t="s">
        <v>607</v>
      </c>
      <c r="BM43" s="4" t="s">
        <v>608</v>
      </c>
      <c r="BN43" s="4" t="s">
        <v>174</v>
      </c>
      <c r="BO43" s="4" t="s">
        <v>393</v>
      </c>
      <c r="BP43" s="4" t="s">
        <v>582</v>
      </c>
      <c r="BQ43" s="4" t="s">
        <v>583</v>
      </c>
      <c r="BT43" t="s">
        <v>369</v>
      </c>
      <c r="BV43" t="s">
        <v>371</v>
      </c>
      <c r="BW43" t="s">
        <v>363</v>
      </c>
      <c r="BX43" t="s">
        <v>174</v>
      </c>
      <c r="BY43" s="3" t="s">
        <v>361</v>
      </c>
      <c r="BZ43" t="s">
        <v>360</v>
      </c>
      <c r="CA43" t="s">
        <v>649</v>
      </c>
      <c r="CB43" t="s">
        <v>650</v>
      </c>
      <c r="CC43" t="s">
        <v>651</v>
      </c>
      <c r="CD43" s="21" t="s">
        <v>463</v>
      </c>
      <c r="CE43" s="21" t="s">
        <v>359</v>
      </c>
      <c r="CF43" t="s">
        <v>628</v>
      </c>
      <c r="CG43" t="s">
        <v>652</v>
      </c>
      <c r="CH43" t="s">
        <v>653</v>
      </c>
      <c r="CI43" t="s">
        <v>582</v>
      </c>
      <c r="CJ43" t="s">
        <v>699</v>
      </c>
      <c r="CK43" t="s">
        <v>372</v>
      </c>
    </row>
    <row r="44" spans="1:89" x14ac:dyDescent="0.25">
      <c r="B44">
        <v>1</v>
      </c>
      <c r="C44">
        <v>0.13</v>
      </c>
      <c r="D44">
        <v>1.2</v>
      </c>
      <c r="E44">
        <v>30</v>
      </c>
      <c r="F44" t="s">
        <v>370</v>
      </c>
      <c r="H44" t="s">
        <v>362</v>
      </c>
      <c r="I44" s="51">
        <v>0.1</v>
      </c>
      <c r="J44">
        <f>1-I44</f>
        <v>0.9</v>
      </c>
      <c r="K44" s="37">
        <f>'nano-Axi'!S5</f>
        <v>0.27157999999999999</v>
      </c>
      <c r="L44" s="37">
        <f>'nano-Axi'!T5</f>
        <v>2.76</v>
      </c>
      <c r="M44" s="37">
        <f>'nano-Axi'!U5</f>
        <v>2.88</v>
      </c>
      <c r="N44" s="2">
        <f>'nano-Axi'!$X5*101325*0.006/'nano-Axi'!$E5/2844</f>
        <v>1.5236764091077271E-10</v>
      </c>
      <c r="O44" s="2">
        <f>0.006/'nano-Axi'!$X5*'nano-Axi'!$O5</f>
        <v>633274907475.9436</v>
      </c>
      <c r="P44" s="78" t="s">
        <v>364</v>
      </c>
      <c r="Q44" s="76">
        <f>'nano-Axi'!M11</f>
        <v>0.1</v>
      </c>
      <c r="R44" s="8">
        <f t="shared" ref="R44:R45" si="0">1-Q44</f>
        <v>0.9</v>
      </c>
      <c r="S44" s="77">
        <f>'nano-Axi'!S11</f>
        <v>0.2175</v>
      </c>
      <c r="T44" s="77">
        <f>'nano-Axi'!T11</f>
        <v>5.25</v>
      </c>
      <c r="U44" s="9">
        <f>T44/'nano-Axi'!X11</f>
        <v>181305.69948186527</v>
      </c>
      <c r="V44" s="2">
        <f>'nano-Axi'!$X11*101325*0.006/'nano-Axi'!$E11/2844</f>
        <v>9.5229775569232906E-8</v>
      </c>
      <c r="W44" s="2">
        <f>0.006/'nano-Axi'!$X11*'nano-Axi'!$O11</f>
        <v>1013239851.9615099</v>
      </c>
      <c r="X44">
        <v>8431</v>
      </c>
      <c r="Y44" s="51">
        <v>0.1</v>
      </c>
      <c r="Z44">
        <f>1-Y44</f>
        <v>0.9</v>
      </c>
      <c r="AA44">
        <f>'nano-Axi'!S56</f>
        <v>0.24177999999999999</v>
      </c>
      <c r="AB44">
        <f>'nano-Axi'!T56</f>
        <v>3.37</v>
      </c>
      <c r="AC44" s="9">
        <f>AB44/'nano-Axi'!X56</f>
        <v>72738119.91117689</v>
      </c>
      <c r="AD44" s="2">
        <f>'nano-Axi'!$X56*101325*0.006/'nano-Axi'!$E56/2844</f>
        <v>1.5236764091077271E-10</v>
      </c>
      <c r="AE44" s="2">
        <f>0.006/'nano-Axi'!$X56*'nano-Axi'!$O56</f>
        <v>633274907475.9436</v>
      </c>
      <c r="AF44">
        <v>525</v>
      </c>
      <c r="AG44" s="51">
        <v>0.1</v>
      </c>
      <c r="AH44">
        <f t="shared" ref="AH44:AH58" si="1">1-AG44</f>
        <v>0.9</v>
      </c>
      <c r="AI44">
        <f>'nano-Axi'!S81</f>
        <v>0.18476000000000001</v>
      </c>
      <c r="AJ44">
        <f>'nano-Axi'!T81</f>
        <v>2.65</v>
      </c>
      <c r="AK44" s="8">
        <f>'nano-Axi'!U81</f>
        <v>2.79</v>
      </c>
      <c r="AL44" s="83">
        <f>(AI44-$K44)/$K44</f>
        <v>-0.31968480742322697</v>
      </c>
      <c r="AM44" s="85">
        <f>(AJ44-$L44)/$L44</f>
        <v>-3.9855072463768071E-2</v>
      </c>
      <c r="AN44" s="53" t="s">
        <v>556</v>
      </c>
      <c r="AO44" s="51">
        <v>0.1</v>
      </c>
      <c r="AP44">
        <f t="shared" ref="AP44:AP49" si="2">1-AO44</f>
        <v>0.9</v>
      </c>
      <c r="AQ44">
        <f>'nano-Axi'!S92</f>
        <v>0.84914999999999996</v>
      </c>
      <c r="AR44">
        <f>'nano-Axi'!T92</f>
        <v>0.89</v>
      </c>
      <c r="AS44" s="9">
        <f>AR44/'nano-Axi'!X92</f>
        <v>19209770.540340483</v>
      </c>
      <c r="AT44" s="2">
        <f>'nano-Axi'!$X92*101325*0.006/'nano-Axi'!$E92/2844</f>
        <v>1.5236764091077271E-10</v>
      </c>
      <c r="AU44" s="2">
        <f>0.006/'nano-Axi'!$X92*'nano-Axi'!$O92</f>
        <v>63327490747.594353</v>
      </c>
      <c r="AV44" s="8" t="s">
        <v>537</v>
      </c>
      <c r="AW44" s="51">
        <v>0.1</v>
      </c>
      <c r="AX44">
        <f t="shared" ref="AX44:AX58" si="3">1-AW44</f>
        <v>0.9</v>
      </c>
      <c r="AY44">
        <f>'nano-Axi'!S65</f>
        <v>0.91620000000000001</v>
      </c>
      <c r="AZ44">
        <f>'nano-Axi'!T65</f>
        <v>1.36</v>
      </c>
      <c r="BA44" s="9">
        <f>AZ44/'nano-Axi'!X65</f>
        <v>29354256.106587708</v>
      </c>
      <c r="BB44" s="2">
        <f>'nano-Axi'!$X65*101325*0.006/'nano-Axi'!$E65/2844</f>
        <v>1.5236764091077271E-10</v>
      </c>
      <c r="BC44" s="2">
        <f>0.006/'nano-Axi'!$X65*'nano-Axi'!$O65</f>
        <v>633274907475.9436</v>
      </c>
      <c r="BD44" s="78" t="s">
        <v>546</v>
      </c>
      <c r="BE44" s="74">
        <v>0.1</v>
      </c>
      <c r="BF44" s="75">
        <v>0.9</v>
      </c>
      <c r="BG44" s="75">
        <v>2.1899999999999999E-2</v>
      </c>
      <c r="BH44" s="75">
        <v>0.64</v>
      </c>
      <c r="BI44" s="75">
        <v>1.19</v>
      </c>
      <c r="BJ44" s="84">
        <v>-0.91936077767140434</v>
      </c>
      <c r="BK44" s="86">
        <v>-0.785953177257525</v>
      </c>
      <c r="BL44" t="s">
        <v>609</v>
      </c>
      <c r="BM44">
        <f>'nano-Axi'!F16*'nano-Axi'!G16</f>
        <v>60000</v>
      </c>
      <c r="BN44">
        <f>'nano-Axi'!S16</f>
        <v>0.19134000000000001</v>
      </c>
      <c r="BO44">
        <f>'nano-Axi'!T16</f>
        <v>6.93</v>
      </c>
      <c r="BP44" s="95">
        <f>'nano-Axi'!$X16*101325*0.006/'nano-Axi'!$E16/2844</f>
        <v>4.2503575340798442E-6</v>
      </c>
      <c r="BQ44" s="2">
        <f>0.006/'nano-Axi'!$X16*'nano-Axi'!$O16</f>
        <v>22701761.658031091</v>
      </c>
      <c r="BT44" t="s">
        <v>370</v>
      </c>
      <c r="BV44">
        <v>1</v>
      </c>
      <c r="BW44">
        <v>0.13</v>
      </c>
      <c r="BX44">
        <v>1.2</v>
      </c>
      <c r="BY44" s="3">
        <v>30</v>
      </c>
      <c r="BZ44">
        <f>1-BW44</f>
        <v>0.87</v>
      </c>
      <c r="CA44" s="21">
        <v>1.4999999999999999E-2</v>
      </c>
      <c r="CB44">
        <v>101325</v>
      </c>
      <c r="CC44">
        <v>2844</v>
      </c>
      <c r="CD44" s="97">
        <v>71</v>
      </c>
      <c r="CE44" s="100">
        <v>9.7900000000000003E-9</v>
      </c>
      <c r="CF44" s="25">
        <f>BZ44^3/(1-BZ44)^2/72*CE44^2/(10^-5)*CB44/CA44</f>
        <v>3.5037192058467827E-5</v>
      </c>
      <c r="CG44" s="28">
        <f>BY44/CF44</f>
        <v>856232.99806496815</v>
      </c>
      <c r="CH44" s="28">
        <f>BX44*CF44/CA44</f>
        <v>2.8029753646774259E-3</v>
      </c>
      <c r="CI44" s="102">
        <f>CF44*CB44*CA44/CD44/CC44</f>
        <v>2.6372373902985176E-7</v>
      </c>
      <c r="CJ44" s="105">
        <f>CB44/CC44/$CI$41*CA44*CF44*$CJ$41/CD44</f>
        <v>1.2557307266113712E-6</v>
      </c>
    </row>
    <row r="45" spans="1:89" x14ac:dyDescent="0.25">
      <c r="B45">
        <v>1</v>
      </c>
      <c r="C45">
        <v>0.3</v>
      </c>
      <c r="D45">
        <v>2.5</v>
      </c>
      <c r="E45">
        <v>8</v>
      </c>
      <c r="F45" t="s">
        <v>370</v>
      </c>
      <c r="H45">
        <v>5250</v>
      </c>
      <c r="I45" s="51">
        <v>0.3</v>
      </c>
      <c r="J45">
        <f t="shared" ref="J45:J48" si="4">1-I45</f>
        <v>0.7</v>
      </c>
      <c r="K45" s="37">
        <f>'nano-Axi'!S6</f>
        <v>0.23105000000000001</v>
      </c>
      <c r="L45" s="37">
        <f>'nano-Axi'!T6</f>
        <v>3.95</v>
      </c>
      <c r="M45" s="33">
        <f>'nano-Axi'!U6</f>
        <v>3.72</v>
      </c>
      <c r="N45" s="2">
        <f>'nano-Axi'!X6*101325*0.006/'nano-Axi'!E6/2844</f>
        <v>6.8005720545277493E-9</v>
      </c>
      <c r="O45" s="2">
        <f>0.006/'nano-Axi'!X6*'nano-Axi'!O6</f>
        <v>14188601036.269432</v>
      </c>
      <c r="P45" s="78" t="s">
        <v>364</v>
      </c>
      <c r="Q45" s="76">
        <f>'nano-Axi'!M12</f>
        <v>0.2</v>
      </c>
      <c r="R45" s="8">
        <f t="shared" si="0"/>
        <v>0.8</v>
      </c>
      <c r="S45" s="77">
        <f>'nano-Axi'!S12</f>
        <v>0.212534</v>
      </c>
      <c r="T45" s="77">
        <f>'nano-Axi'!T12</f>
        <v>5.99</v>
      </c>
      <c r="U45" s="9">
        <f>T45/'nano-Axi'!X12</f>
        <v>20430.732790525541</v>
      </c>
      <c r="V45" s="2">
        <f>'nano-Axi'!$X12*101325*0.006/'nano-Axi'!$E12/2844</f>
        <v>9.6420147763848325E-7</v>
      </c>
      <c r="W45" s="2">
        <f>0.006/'nano-Axi'!$X12*'nano-Axi'!$O12</f>
        <v>100073071.79866768</v>
      </c>
      <c r="X45" s="78" t="s">
        <v>478</v>
      </c>
      <c r="Y45" s="51">
        <v>0.3</v>
      </c>
      <c r="Z45">
        <f t="shared" ref="Z45:Z48" si="5">1-Y45</f>
        <v>0.7</v>
      </c>
      <c r="AA45">
        <f>'nano-Axi'!S57</f>
        <v>0.19311</v>
      </c>
      <c r="AB45">
        <f>'nano-Axi'!T57</f>
        <v>4.62</v>
      </c>
      <c r="AC45" s="9">
        <f>AB45/'nano-Axi'!X57</f>
        <v>2234196.8911917103</v>
      </c>
      <c r="AD45" s="2">
        <f>'nano-Axi'!$X57*101325*0.006/'nano-Axi'!$E57/2844</f>
        <v>6.8005720545277493E-9</v>
      </c>
      <c r="AE45" s="2">
        <f>0.006/'nano-Axi'!$X57*'nano-Axi'!$O57</f>
        <v>14188601036.269432</v>
      </c>
      <c r="AF45" t="s">
        <v>539</v>
      </c>
      <c r="AG45" s="51">
        <v>0.3</v>
      </c>
      <c r="AH45">
        <f t="shared" si="1"/>
        <v>0.7</v>
      </c>
      <c r="AI45">
        <f>'nano-Axi'!S82</f>
        <v>0.20646999999999999</v>
      </c>
      <c r="AJ45">
        <f>'nano-Axi'!T82</f>
        <v>3.15</v>
      </c>
      <c r="AK45" s="8">
        <f>'nano-Axi'!U82</f>
        <v>3.22</v>
      </c>
      <c r="AL45" s="83">
        <f>(AI45-$K45)/$K45</f>
        <v>-0.10638389958883367</v>
      </c>
      <c r="AM45" s="85">
        <f>(AJ45-$L45)/$L45</f>
        <v>-0.20253164556962031</v>
      </c>
      <c r="AN45" s="53" t="s">
        <v>556</v>
      </c>
      <c r="AO45" s="51">
        <v>0.3</v>
      </c>
      <c r="AP45">
        <f t="shared" si="2"/>
        <v>0.7</v>
      </c>
      <c r="AQ45">
        <f>'nano-Axi'!S93</f>
        <v>0.54454999999999998</v>
      </c>
      <c r="AR45">
        <f>'nano-Axi'!T93</f>
        <v>1.1499999999999999</v>
      </c>
      <c r="AS45" s="9">
        <f>AR45/'nano-Axi'!X93</f>
        <v>556131.26079447323</v>
      </c>
      <c r="AT45" s="2">
        <f>'nano-Axi'!$X93*101325*0.006/'nano-Axi'!$E93/2844</f>
        <v>6.8005720545277493E-9</v>
      </c>
      <c r="AU45" s="2">
        <f>0.006/'nano-Axi'!$X93*'nano-Axi'!$O93</f>
        <v>1418860103.6269431</v>
      </c>
      <c r="AV45" s="8"/>
      <c r="AW45" s="51">
        <v>0.3</v>
      </c>
      <c r="AX45">
        <f t="shared" si="3"/>
        <v>0.7</v>
      </c>
      <c r="AY45">
        <f>'nano-Axi'!S66</f>
        <v>0.64676999999999996</v>
      </c>
      <c r="AZ45">
        <f>'nano-Axi'!T66</f>
        <v>1.79</v>
      </c>
      <c r="BA45" s="9">
        <f>AZ45/'nano-Axi'!X66</f>
        <v>865630.39723661495</v>
      </c>
      <c r="BB45" s="2">
        <f>'nano-Axi'!$X66*101325*0.006/'nano-Axi'!$E66/2844</f>
        <v>6.8005720545277493E-9</v>
      </c>
      <c r="BC45" s="2">
        <f>0.006/'nano-Axi'!$X66*'nano-Axi'!$O66</f>
        <v>14188601036.269432</v>
      </c>
      <c r="BE45" s="51">
        <v>0.3</v>
      </c>
      <c r="BF45">
        <v>0.7</v>
      </c>
      <c r="BG45">
        <v>1.813E-2</v>
      </c>
      <c r="BH45">
        <v>0.81</v>
      </c>
      <c r="BI45" s="8">
        <v>1.52</v>
      </c>
      <c r="BJ45" s="83">
        <v>-0.92153213590131999</v>
      </c>
      <c r="BK45" s="85">
        <v>-0.79493670886075951</v>
      </c>
      <c r="BM45">
        <f>'nano-Axi'!F107*'nano-Axi'!G107</f>
        <v>240000</v>
      </c>
      <c r="BN45">
        <f>'nano-Axi'!S107</f>
        <v>0.27943200000000001</v>
      </c>
      <c r="BO45">
        <f>'nano-Axi'!T107</f>
        <v>6.86</v>
      </c>
      <c r="BP45" s="95">
        <f>'nano-Axi'!$X107*101325*0.006/'nano-Axi'!$E107/2844</f>
        <v>4.2503575340798442E-6</v>
      </c>
      <c r="BQ45" s="28">
        <f>0.006/'nano-Axi'!$X107*'nano-Axi'!$O107</f>
        <v>22701761.658031091</v>
      </c>
      <c r="BT45" t="s">
        <v>370</v>
      </c>
      <c r="BV45">
        <v>1</v>
      </c>
      <c r="BW45">
        <v>0.3</v>
      </c>
      <c r="BX45">
        <v>2.5</v>
      </c>
      <c r="BY45" s="3">
        <v>8</v>
      </c>
      <c r="BZ45">
        <f t="shared" ref="BZ45:BZ73" si="6">1-BW45</f>
        <v>0.7</v>
      </c>
      <c r="CA45" s="21">
        <v>2.4399999999999999E-3</v>
      </c>
      <c r="CB45">
        <v>101325</v>
      </c>
      <c r="CC45">
        <f>CC44</f>
        <v>2844</v>
      </c>
      <c r="CD45" s="97">
        <f>CD44</f>
        <v>71</v>
      </c>
      <c r="CE45" s="100">
        <f>CE44</f>
        <v>9.7900000000000003E-9</v>
      </c>
      <c r="CF45" s="25">
        <f t="shared" ref="CF45:CF69" si="7">BZ45^3/(1-BZ45)^2/72*CE45^2/(10^-5)*CB45/CA45</f>
        <v>2.1067416624592051E-5</v>
      </c>
      <c r="CG45" s="28">
        <f t="shared" ref="CG45:CG60" si="8">BY45/CF45</f>
        <v>379733.31721467827</v>
      </c>
      <c r="CH45" s="28">
        <f t="shared" ref="CH45:CH69" si="9">BX45*CF45/CA45</f>
        <v>2.1585467853065626E-2</v>
      </c>
      <c r="CI45" s="102">
        <f t="shared" ref="CI45:CI69" si="10">CF45*CB45*CA45/CD45/CC45</f>
        <v>2.5794658457378843E-8</v>
      </c>
      <c r="CJ45" s="105">
        <f t="shared" ref="CJ45:CJ93" si="11">CB45/CC45/$CI$41*CA45*CF45*$CJ$41/CD45</f>
        <v>1.2282225834705774E-7</v>
      </c>
    </row>
    <row r="46" spans="1:89" x14ac:dyDescent="0.25">
      <c r="B46">
        <v>1</v>
      </c>
      <c r="C46">
        <v>0.3</v>
      </c>
      <c r="D46">
        <v>2.5</v>
      </c>
      <c r="E46">
        <v>6</v>
      </c>
      <c r="F46" t="s">
        <v>370</v>
      </c>
      <c r="H46" s="27" t="s">
        <v>480</v>
      </c>
      <c r="I46" s="51">
        <v>0.5</v>
      </c>
      <c r="J46">
        <f t="shared" si="4"/>
        <v>0.5</v>
      </c>
      <c r="K46" s="37">
        <f>'nano-Axi'!S7</f>
        <v>0.17995</v>
      </c>
      <c r="L46" s="37">
        <f>'nano-Axi'!T7</f>
        <v>4.92</v>
      </c>
      <c r="M46" s="33">
        <f>'nano-Axi'!U7</f>
        <v>5.1100000000000003</v>
      </c>
      <c r="N46" s="2">
        <f>'nano-Axi'!X7*101325*0.006/'nano-Axi'!E7/2844</f>
        <v>6.170889456886292E-8</v>
      </c>
      <c r="O46" s="2">
        <f>0.006/'nano-Axi'!X7*'nano-Axi'!O7</f>
        <v>1563641746.8541825</v>
      </c>
      <c r="P46" s="78"/>
      <c r="Q46" s="76">
        <f>'nano-Axi'!M13</f>
        <v>0.25</v>
      </c>
      <c r="R46" s="8">
        <f t="shared" ref="R46:R51" si="12">1-Q46</f>
        <v>0.75</v>
      </c>
      <c r="S46" s="77">
        <f>'nano-Axi'!S13</f>
        <v>0.19870399999999999</v>
      </c>
      <c r="T46" s="77">
        <f>'nano-Axi'!T13</f>
        <v>6.33</v>
      </c>
      <c r="U46" s="9">
        <f>T46/'nano-Axi'!X13</f>
        <v>9715.6831976313861</v>
      </c>
      <c r="V46" s="2">
        <f>'nano-Axi'!$X13*101325*0.006/'nano-Axi'!$E13/2844</f>
        <v>2.1426699503077401E-6</v>
      </c>
      <c r="W46" s="2">
        <f>0.006/'nano-Axi'!$X13*'nano-Axi'!$O13</f>
        <v>45032882.309400454</v>
      </c>
      <c r="X46" s="78"/>
      <c r="Y46" s="51">
        <v>0.5</v>
      </c>
      <c r="Z46">
        <f t="shared" si="5"/>
        <v>0.5</v>
      </c>
      <c r="AA46">
        <f>'nano-Axi'!S58</f>
        <v>0.12945000000000001</v>
      </c>
      <c r="AB46">
        <f>'nano-Axi'!T58</f>
        <v>5.73</v>
      </c>
      <c r="AC46" s="9">
        <f>AB46/'nano-Axi'!X58</f>
        <v>305373.79718726873</v>
      </c>
      <c r="AD46" s="2">
        <f>'nano-Axi'!$X58*101325*0.006/'nano-Axi'!$E58/2844</f>
        <v>6.170889456886292E-8</v>
      </c>
      <c r="AE46" s="2">
        <f>0.006/'nano-Axi'!$X58*'nano-Axi'!$O58</f>
        <v>1563641746.8541825</v>
      </c>
      <c r="AG46" s="51">
        <v>0.5</v>
      </c>
      <c r="AH46">
        <f t="shared" si="1"/>
        <v>0.5</v>
      </c>
      <c r="AI46">
        <f>'nano-Axi'!S83</f>
        <v>0.18787999999999999</v>
      </c>
      <c r="AJ46">
        <f>'nano-Axi'!T83</f>
        <v>4</v>
      </c>
      <c r="AK46" s="8">
        <f>'nano-Axi'!U83</f>
        <v>4.05</v>
      </c>
      <c r="AL46" s="83">
        <f>(AI46-$K46)/$K46</f>
        <v>4.4067796610169449E-2</v>
      </c>
      <c r="AM46" s="85">
        <f>(AJ46-$L46)/$L46</f>
        <v>-0.18699186991869918</v>
      </c>
      <c r="AN46" s="8"/>
      <c r="AO46" s="51">
        <v>0.5</v>
      </c>
      <c r="AP46">
        <f t="shared" si="2"/>
        <v>0.5</v>
      </c>
      <c r="AQ46">
        <f>'nano-Axi'!S94</f>
        <v>0.65903</v>
      </c>
      <c r="AR46">
        <f>'nano-Axi'!T94</f>
        <v>1.56</v>
      </c>
      <c r="AS46" s="9">
        <f>AR46/'nano-Axi'!X94</f>
        <v>83138.415988156936</v>
      </c>
      <c r="AT46" s="2">
        <f>'nano-Axi'!$X94*101325*0.006/'nano-Axi'!$E94/2844</f>
        <v>6.170889456886292E-8</v>
      </c>
      <c r="AU46" s="2">
        <f>0.006/'nano-Axi'!$X94*'nano-Axi'!$O94</f>
        <v>156364174.68541825</v>
      </c>
      <c r="AV46" s="8"/>
      <c r="AW46" s="51">
        <v>0.5</v>
      </c>
      <c r="AX46">
        <f t="shared" si="3"/>
        <v>0.5</v>
      </c>
      <c r="AY46">
        <f>'nano-Axi'!S67</f>
        <v>0.53386</v>
      </c>
      <c r="AZ46">
        <f>'nano-Axi'!T67</f>
        <v>2.4500000000000002</v>
      </c>
      <c r="BA46" s="9">
        <f>AZ46/'nano-Axi'!X67</f>
        <v>130569.94818652852</v>
      </c>
      <c r="BB46" s="2">
        <f>'nano-Axi'!$X67*101325*0.006/'nano-Axi'!$E67/2844</f>
        <v>6.170889456886292E-8</v>
      </c>
      <c r="BC46" s="2">
        <f>0.006/'nano-Axi'!$X67*'nano-Axi'!$O67</f>
        <v>1563641746.8541825</v>
      </c>
      <c r="BD46" s="78"/>
      <c r="BE46" s="51">
        <v>0.5</v>
      </c>
      <c r="BF46">
        <v>0.5</v>
      </c>
      <c r="BG46">
        <v>1.4120000000000001E-2</v>
      </c>
      <c r="BH46">
        <v>0.96</v>
      </c>
      <c r="BI46" s="8">
        <v>2.5099999999999998</v>
      </c>
      <c r="BJ46" s="83">
        <v>-0.92153375937760496</v>
      </c>
      <c r="BK46" s="85">
        <v>-0.8238532110091743</v>
      </c>
      <c r="BM46">
        <f>'nano-Axi'!F108*'nano-Axi'!G108</f>
        <v>119000</v>
      </c>
      <c r="BN46">
        <f>'nano-Axi'!S108</f>
        <v>0.17893100000000001</v>
      </c>
      <c r="BO46">
        <f>'nano-Axi'!T108</f>
        <v>6.76</v>
      </c>
      <c r="BP46" s="95">
        <f>'nano-Axi'!$X108*101325*0.006/'nano-Axi'!$E108/2844</f>
        <v>4.2503575340798442E-6</v>
      </c>
      <c r="BQ46" s="28">
        <f>0.006/'nano-Axi'!$X108*'nano-Axi'!$O108</f>
        <v>22701761.658031091</v>
      </c>
      <c r="BT46" t="s">
        <v>370</v>
      </c>
      <c r="BV46">
        <v>1</v>
      </c>
      <c r="BW46">
        <v>0.3</v>
      </c>
      <c r="BX46">
        <v>2.5</v>
      </c>
      <c r="BY46" s="3">
        <v>6</v>
      </c>
      <c r="BZ46">
        <f t="shared" si="6"/>
        <v>0.7</v>
      </c>
      <c r="CA46" s="21">
        <v>2.4399999999999999E-3</v>
      </c>
      <c r="CB46">
        <v>101325</v>
      </c>
      <c r="CC46">
        <f t="shared" ref="CC46:CC69" si="13">CC45</f>
        <v>2844</v>
      </c>
      <c r="CD46" s="97">
        <f t="shared" ref="CD46:CD50" si="14">CD45</f>
        <v>71</v>
      </c>
      <c r="CE46" s="100">
        <f t="shared" ref="CE46:CE60" si="15">CE45</f>
        <v>9.7900000000000003E-9</v>
      </c>
      <c r="CF46" s="25">
        <f t="shared" si="7"/>
        <v>2.1067416624592051E-5</v>
      </c>
      <c r="CG46" s="28">
        <f t="shared" si="8"/>
        <v>284799.98791100871</v>
      </c>
      <c r="CH46" s="28">
        <f t="shared" si="9"/>
        <v>2.1585467853065626E-2</v>
      </c>
      <c r="CI46" s="102">
        <f t="shared" si="10"/>
        <v>2.5794658457378843E-8</v>
      </c>
      <c r="CJ46" s="105">
        <f t="shared" si="11"/>
        <v>1.2282225834705774E-7</v>
      </c>
    </row>
    <row r="47" spans="1:89" x14ac:dyDescent="0.25">
      <c r="B47">
        <v>1</v>
      </c>
      <c r="C47">
        <v>0.31</v>
      </c>
      <c r="D47">
        <v>2.5</v>
      </c>
      <c r="E47">
        <v>10</v>
      </c>
      <c r="F47" t="s">
        <v>370</v>
      </c>
      <c r="H47" s="79" t="s">
        <v>481</v>
      </c>
      <c r="I47" s="51">
        <v>0.7</v>
      </c>
      <c r="J47">
        <f t="shared" si="4"/>
        <v>0.30000000000000004</v>
      </c>
      <c r="K47" s="37">
        <f>'nano-Axi'!S8</f>
        <v>0.12307700000000001</v>
      </c>
      <c r="L47" s="37">
        <f>'nano-Axi'!T8</f>
        <v>7.05</v>
      </c>
      <c r="M47" s="33">
        <f>'nano-Axi'!U8</f>
        <v>7.36</v>
      </c>
      <c r="N47" s="2">
        <f>'nano-Axi'!X8*101325*0.006/'nano-Axi'!E8/2844</f>
        <v>4.7035890749155502E-7</v>
      </c>
      <c r="O47" s="2">
        <f>0.006/'nano-Axi'!X8*'nano-Axi'!O8</f>
        <v>205142503.23159835</v>
      </c>
      <c r="P47" s="78"/>
      <c r="Q47" s="76">
        <f>'nano-Axi'!M16</f>
        <v>0.3</v>
      </c>
      <c r="R47" s="8">
        <f t="shared" si="12"/>
        <v>0.7</v>
      </c>
      <c r="S47" s="77">
        <f>'nano-Axi'!S16</f>
        <v>0.19134000000000001</v>
      </c>
      <c r="T47" s="77">
        <f>'nano-Axi'!T16</f>
        <v>6.93</v>
      </c>
      <c r="U47" s="9">
        <f>T47/'nano-Axi'!X14</f>
        <v>6977.3621958035601</v>
      </c>
      <c r="V47" s="2">
        <f>'nano-Axi'!$X14*101325*0.006/'nano-Axi'!$E14/2844</f>
        <v>3.2663813020246892E-6</v>
      </c>
      <c r="W47" s="2">
        <f>0.006/'nano-Axi'!$X14*'nano-Axi'!$O14</f>
        <v>29540520.465350136</v>
      </c>
      <c r="X47" s="78"/>
      <c r="Y47" s="51">
        <v>0.7</v>
      </c>
      <c r="Z47">
        <f t="shared" si="5"/>
        <v>0.30000000000000004</v>
      </c>
      <c r="AA47">
        <f>'nano-Axi'!S59</f>
        <v>9.7641000000000006E-2</v>
      </c>
      <c r="AB47">
        <f>'nano-Axi'!T59</f>
        <v>7.57</v>
      </c>
      <c r="AC47" s="9">
        <f>AB47/'nano-Axi'!X59</f>
        <v>52928.723567252877</v>
      </c>
      <c r="AD47" s="2">
        <f>'nano-Axi'!$X59*101325*0.006/'nano-Axi'!$E59/2844</f>
        <v>4.7035890749155502E-7</v>
      </c>
      <c r="AE47" s="2">
        <f>0.006/'nano-Axi'!$X59*'nano-Axi'!$O59</f>
        <v>205142503.23159835</v>
      </c>
      <c r="AG47" s="51">
        <v>0.7</v>
      </c>
      <c r="AH47">
        <f t="shared" si="1"/>
        <v>0.30000000000000004</v>
      </c>
      <c r="AI47">
        <f>'nano-Axi'!S84</f>
        <v>0.13026399999999999</v>
      </c>
      <c r="AJ47">
        <f>'nano-Axi'!T84</f>
        <v>5.43</v>
      </c>
      <c r="AK47" s="8">
        <f>'nano-Axi'!U84</f>
        <v>5.5</v>
      </c>
      <c r="AL47" s="83">
        <f>(AI47-$K47)/$K47</f>
        <v>5.8394338503538312E-2</v>
      </c>
      <c r="AM47" s="85">
        <f>(AJ47-$L47)/$L47</f>
        <v>-0.22978723404255322</v>
      </c>
      <c r="AN47" s="8"/>
      <c r="AO47" s="51">
        <v>0.7</v>
      </c>
      <c r="AP47">
        <f t="shared" si="2"/>
        <v>0.30000000000000004</v>
      </c>
      <c r="AQ47">
        <f>'nano-Axi'!S95</f>
        <v>0.63077799999999995</v>
      </c>
      <c r="AR47">
        <f>'nano-Axi'!T95</f>
        <v>2.08</v>
      </c>
      <c r="AS47" s="9">
        <f>AR47/'nano-Axi'!X95</f>
        <v>14543.163146616378</v>
      </c>
      <c r="AT47" s="2">
        <f>'nano-Axi'!$X95*101325*0.006/'nano-Axi'!$E95/2844</f>
        <v>4.7035890749155502E-7</v>
      </c>
      <c r="AU47" s="2">
        <f>0.006/'nano-Axi'!$X95*'nano-Axi'!$O95</f>
        <v>20514250.323159833</v>
      </c>
      <c r="AV47" s="8"/>
      <c r="AW47" s="51">
        <v>0.7</v>
      </c>
      <c r="AX47">
        <f t="shared" si="3"/>
        <v>0.30000000000000004</v>
      </c>
      <c r="AY47">
        <f>'nano-Axi'!S68</f>
        <v>0.46990799999999999</v>
      </c>
      <c r="AZ47">
        <f>'nano-Axi'!T68</f>
        <v>3.28</v>
      </c>
      <c r="BA47" s="9">
        <f>AZ47/'nano-Axi'!X68</f>
        <v>22933.449577356594</v>
      </c>
      <c r="BB47" s="2">
        <f>'nano-Axi'!$X68*101325*0.006/'nano-Axi'!$E68/2844</f>
        <v>4.7035890749155502E-7</v>
      </c>
      <c r="BC47" s="2">
        <f>0.006/'nano-Axi'!$X68*'nano-Axi'!$O68</f>
        <v>205142503.23159835</v>
      </c>
      <c r="BD47" s="78"/>
      <c r="BE47" s="51">
        <v>0.7</v>
      </c>
      <c r="BF47">
        <v>0.30000000000000004</v>
      </c>
      <c r="BG47">
        <v>9.7199999999999995E-3</v>
      </c>
      <c r="BH47">
        <v>1.18</v>
      </c>
      <c r="BI47" s="8">
        <v>4.75</v>
      </c>
      <c r="BJ47" s="83">
        <v>-0.92102504935934426</v>
      </c>
      <c r="BK47" s="85">
        <v>-0.85044359949302917</v>
      </c>
      <c r="BT47" t="s">
        <v>370</v>
      </c>
      <c r="BV47">
        <v>1</v>
      </c>
      <c r="BW47">
        <v>0.31</v>
      </c>
      <c r="BX47">
        <v>2.5</v>
      </c>
      <c r="BY47" s="3">
        <v>10</v>
      </c>
      <c r="BZ47">
        <f t="shared" si="6"/>
        <v>0.69</v>
      </c>
      <c r="CA47" s="21">
        <v>2.4399999999999999E-3</v>
      </c>
      <c r="CB47">
        <v>101325</v>
      </c>
      <c r="CC47">
        <f t="shared" si="13"/>
        <v>2844</v>
      </c>
      <c r="CD47" s="97">
        <f t="shared" si="14"/>
        <v>71</v>
      </c>
      <c r="CE47" s="100">
        <f t="shared" si="15"/>
        <v>9.7900000000000003E-9</v>
      </c>
      <c r="CF47" s="25">
        <f t="shared" si="7"/>
        <v>1.8896595113615552E-5</v>
      </c>
      <c r="CG47" s="28">
        <f t="shared" si="8"/>
        <v>529195.86517439352</v>
      </c>
      <c r="CH47" s="28">
        <f t="shared" si="9"/>
        <v>1.9361265485261837E-2</v>
      </c>
      <c r="CI47" s="102">
        <f t="shared" si="10"/>
        <v>2.3136734116422583E-8</v>
      </c>
      <c r="CJ47" s="105">
        <f t="shared" si="11"/>
        <v>1.1016644936973522E-7</v>
      </c>
    </row>
    <row r="48" spans="1:89" x14ac:dyDescent="0.25">
      <c r="B48">
        <v>1</v>
      </c>
      <c r="C48">
        <v>0.57999999999999996</v>
      </c>
      <c r="D48">
        <v>7.2</v>
      </c>
      <c r="E48">
        <v>4</v>
      </c>
      <c r="F48" t="s">
        <v>370</v>
      </c>
      <c r="H48" t="s">
        <v>540</v>
      </c>
      <c r="I48" s="51">
        <v>0.9</v>
      </c>
      <c r="J48">
        <f t="shared" si="4"/>
        <v>9.9999999999999978E-2</v>
      </c>
      <c r="K48" s="37">
        <f>'nano-Axi'!S9</f>
        <v>6.3833000000000001E-2</v>
      </c>
      <c r="L48" s="37">
        <f>'nano-Axi'!T9</f>
        <v>12.9</v>
      </c>
      <c r="M48" s="33">
        <f>'nano-Axi'!U9</f>
        <v>13.67</v>
      </c>
      <c r="N48" s="2">
        <f>'nano-Axi'!X9*101325*0.006/'nano-Axi'!E9/2844</f>
        <v>8.9971568281402184E-6</v>
      </c>
      <c r="O48" s="2">
        <f>0.006/'nano-Axi'!X9*'nano-Axi'!O9</f>
        <v>10724566.164980669</v>
      </c>
      <c r="P48" s="78"/>
      <c r="Q48" s="76">
        <f>'nano-Axi'!M18</f>
        <v>0.4</v>
      </c>
      <c r="R48" s="8">
        <f t="shared" si="12"/>
        <v>0.6</v>
      </c>
      <c r="S48" s="77">
        <f>'nano-Axi'!S18</f>
        <v>0.14635600000000001</v>
      </c>
      <c r="T48" s="77">
        <f>'nano-Axi'!T18</f>
        <v>7.28</v>
      </c>
      <c r="U48" s="9">
        <f>T48/'nano-Axi'!X15</f>
        <v>6415.3627399764237</v>
      </c>
      <c r="V48" s="2">
        <f>'nano-Axi'!$X15*101325*0.006/'nano-Axi'!$E15/2844</f>
        <v>3.7319436362824784E-6</v>
      </c>
      <c r="W48" s="2">
        <f>0.006/'nano-Axi'!$X15*'nano-Axi'!$O15</f>
        <v>25855321.811937947</v>
      </c>
      <c r="Y48" s="51">
        <v>0.9</v>
      </c>
      <c r="Z48">
        <f t="shared" si="5"/>
        <v>9.9999999999999978E-2</v>
      </c>
      <c r="AA48">
        <f>'nano-Axi'!S60</f>
        <v>5.8831000000000001E-2</v>
      </c>
      <c r="AB48">
        <f>'nano-Axi'!T60</f>
        <v>13.17</v>
      </c>
      <c r="AC48" s="9">
        <f>AB48/'nano-Axi'!X60</f>
        <v>4813.9923787592161</v>
      </c>
      <c r="AD48" s="2">
        <f>'nano-Axi'!$X60*101325*0.006/'nano-Axi'!$E60/2844</f>
        <v>8.9971568281402184E-6</v>
      </c>
      <c r="AE48" s="2">
        <f>0.006/'nano-Axi'!$X60*'nano-Axi'!$O60</f>
        <v>10724566.164980669</v>
      </c>
      <c r="AF48" s="87"/>
      <c r="AG48" s="51">
        <v>0.9</v>
      </c>
      <c r="AH48">
        <f t="shared" si="1"/>
        <v>9.9999999999999978E-2</v>
      </c>
      <c r="AI48" s="82">
        <f>'nano-Axi'!S85</f>
        <v>6.2459000000000001E-2</v>
      </c>
      <c r="AJ48" s="82">
        <f>'nano-Axi'!T85</f>
        <v>9.69</v>
      </c>
      <c r="AK48" s="8">
        <f>'nano-Axi'!U85</f>
        <v>10</v>
      </c>
      <c r="AL48" s="83">
        <f>(AI48-$K48)/$K48</f>
        <v>-2.152491657919885E-2</v>
      </c>
      <c r="AM48" s="85">
        <f>(AJ48-$L48)/$L48</f>
        <v>-0.24883720930232564</v>
      </c>
      <c r="AO48" s="51">
        <v>0.75</v>
      </c>
      <c r="AP48">
        <f t="shared" si="2"/>
        <v>0.25</v>
      </c>
      <c r="AQ48">
        <f>'nano-Axi'!S96</f>
        <v>0.59178200000000003</v>
      </c>
      <c r="AR48">
        <f>'nano-Axi'!T96</f>
        <v>2.15</v>
      </c>
      <c r="AS48" s="9">
        <f>AR48/'nano-Axi'!X96</f>
        <v>8487.5400937577087</v>
      </c>
      <c r="AT48" s="2">
        <f>'nano-Axi'!$X96*101325*0.006/'nano-Axi'!$E96/2844</f>
        <v>8.3307007667964959E-7</v>
      </c>
      <c r="AU48" s="2">
        <f>0.006/'nano-Axi'!$X96*'nano-Axi'!$O96</f>
        <v>11582531.458179127</v>
      </c>
      <c r="AV48" s="8"/>
      <c r="AW48" s="76">
        <v>0.75</v>
      </c>
      <c r="AX48" s="8">
        <f t="shared" si="3"/>
        <v>0.25</v>
      </c>
      <c r="AY48">
        <f>'nano-Axi'!S69</f>
        <v>0.58612600000000004</v>
      </c>
      <c r="AZ48">
        <f>'nano-Axi'!T69</f>
        <v>3.95</v>
      </c>
      <c r="BA48" s="9">
        <f>AZ48/'nano-Axi'!X69</f>
        <v>15593.387614113002</v>
      </c>
      <c r="BB48" s="2">
        <f>'nano-Axi'!$X69*101325*0.006/'nano-Axi'!$E69/2844</f>
        <v>8.3307007667964959E-7</v>
      </c>
      <c r="BC48" s="2">
        <f>0.006/'nano-Axi'!$X69*'nano-Axi'!$O69</f>
        <v>115825314.58179127</v>
      </c>
      <c r="BD48" s="8"/>
      <c r="BE48" s="51">
        <v>0.9</v>
      </c>
      <c r="BF48">
        <v>9.9999999999999978E-2</v>
      </c>
      <c r="BG48">
        <v>4.5100000000000001E-3</v>
      </c>
      <c r="BH48">
        <v>2</v>
      </c>
      <c r="BI48" s="8">
        <v>2.48</v>
      </c>
      <c r="BJ48" s="83">
        <v>-0.9293468895398932</v>
      </c>
      <c r="BK48" s="85">
        <v>-0.84544049459041726</v>
      </c>
      <c r="BT48" t="s">
        <v>370</v>
      </c>
      <c r="BV48">
        <v>1</v>
      </c>
      <c r="BW48">
        <v>0.57999999999999996</v>
      </c>
      <c r="BX48">
        <v>7.2</v>
      </c>
      <c r="BY48" s="3">
        <v>4</v>
      </c>
      <c r="BZ48">
        <f t="shared" si="6"/>
        <v>0.42000000000000004</v>
      </c>
      <c r="CA48" s="21">
        <v>2.4399999999999999E-3</v>
      </c>
      <c r="CB48">
        <v>101325</v>
      </c>
      <c r="CC48">
        <f t="shared" si="13"/>
        <v>2844</v>
      </c>
      <c r="CD48" s="97">
        <f t="shared" si="14"/>
        <v>71</v>
      </c>
      <c r="CE48" s="100">
        <f t="shared" si="15"/>
        <v>9.7900000000000003E-9</v>
      </c>
      <c r="CF48" s="25">
        <f t="shared" si="7"/>
        <v>1.2174511866292207E-6</v>
      </c>
      <c r="CG48" s="28">
        <f t="shared" si="8"/>
        <v>3285552.6726084789</v>
      </c>
      <c r="CH48" s="28">
        <f t="shared" si="9"/>
        <v>3.5924789113649137E-3</v>
      </c>
      <c r="CI48" s="102">
        <f t="shared" si="10"/>
        <v>1.4906306789876496E-9</v>
      </c>
      <c r="CJ48" s="105">
        <f t="shared" si="11"/>
        <v>7.0976953099488848E-9</v>
      </c>
    </row>
    <row r="49" spans="1:89" x14ac:dyDescent="0.25">
      <c r="B49">
        <v>1</v>
      </c>
      <c r="C49">
        <v>0.6</v>
      </c>
      <c r="D49">
        <v>6.4</v>
      </c>
      <c r="E49">
        <v>3</v>
      </c>
      <c r="F49" t="s">
        <v>370</v>
      </c>
      <c r="H49" t="s">
        <v>545</v>
      </c>
      <c r="M49" s="8"/>
      <c r="P49" s="78"/>
      <c r="Q49" s="76">
        <f>'nano-Axi'!M19</f>
        <v>0.5</v>
      </c>
      <c r="R49" s="8">
        <f t="shared" si="12"/>
        <v>0.5</v>
      </c>
      <c r="S49" s="77">
        <f>'nano-Axi'!S19</f>
        <v>0.145952</v>
      </c>
      <c r="T49" s="77">
        <f>'nano-Axi'!T19</f>
        <v>8.09</v>
      </c>
      <c r="U49" s="9">
        <f>T49/'nano-Axi'!X16</f>
        <v>6259.620034542314</v>
      </c>
      <c r="V49" s="2">
        <f>'nano-Axi'!$X16*101325*0.006/'nano-Axi'!$E16/2844</f>
        <v>4.2503575340798442E-6</v>
      </c>
      <c r="W49" s="2">
        <f>0.006/'nano-Axi'!$X16*'nano-Axi'!$O16</f>
        <v>22701761.658031091</v>
      </c>
      <c r="X49" s="75">
        <v>16971</v>
      </c>
      <c r="Y49" s="74">
        <v>0.1</v>
      </c>
      <c r="Z49" s="75">
        <f t="shared" ref="Z49:Z73" si="16">1-Y49</f>
        <v>0.9</v>
      </c>
      <c r="AA49" s="75">
        <f>'nano-Axi'!S46</f>
        <v>0.16874</v>
      </c>
      <c r="AB49" s="75">
        <f>'nano-Axi'!T46</f>
        <v>3.49</v>
      </c>
      <c r="AC49" s="98">
        <f>AB49/'nano-Axi'!X46</f>
        <v>75328201.332346395</v>
      </c>
      <c r="AD49" s="2">
        <f>'nano-Axi'!$X46*101325*0.006/'nano-Axi'!$E46/2844</f>
        <v>1.5236764091077271E-10</v>
      </c>
      <c r="AE49" s="2">
        <f>0.006/'nano-Axi'!$X46*'nano-Axi'!$O46</f>
        <v>633274907475.9436</v>
      </c>
      <c r="AF49">
        <v>52.5</v>
      </c>
      <c r="AG49" s="74">
        <v>0.1</v>
      </c>
      <c r="AH49" s="75">
        <f t="shared" si="1"/>
        <v>0.9</v>
      </c>
      <c r="AI49">
        <f>'nano-Axi'!S86</f>
        <v>0.17743</v>
      </c>
      <c r="AJ49">
        <f>'nano-Axi'!T86</f>
        <v>2.64</v>
      </c>
      <c r="AK49" s="75">
        <f>'nano-Axi'!U86</f>
        <v>2.78</v>
      </c>
      <c r="AL49" s="84">
        <f>(AI49-$K44)/$K44</f>
        <v>-0.34667501288754693</v>
      </c>
      <c r="AM49" s="86">
        <f>(AJ49-$L44)/$L44</f>
        <v>-4.3478260869565098E-2</v>
      </c>
      <c r="AO49" s="51">
        <v>0.8</v>
      </c>
      <c r="AP49">
        <f t="shared" si="2"/>
        <v>0.19999999999999996</v>
      </c>
      <c r="AQ49">
        <f>'nano-Axi'!S97</f>
        <v>0.613035</v>
      </c>
      <c r="AR49">
        <f>'nano-Axi'!T97</f>
        <v>3.31</v>
      </c>
      <c r="AS49" s="9">
        <f>AR49/'nano-Axi'!X97</f>
        <v>6890.7290895632814</v>
      </c>
      <c r="AT49" s="2">
        <f>'nano-Axi'!$X97*101325*0.006/'nano-Axi'!$E97/2844</f>
        <v>1.5797477009628917E-6</v>
      </c>
      <c r="AU49" s="2">
        <f>0.006/'nano-Axi'!$X97*'nano-Axi'!$O97</f>
        <v>6107975.5736491447</v>
      </c>
      <c r="AV49" s="8"/>
      <c r="AW49" s="76">
        <v>0.8</v>
      </c>
      <c r="AX49" s="8">
        <f t="shared" si="3"/>
        <v>0.19999999999999996</v>
      </c>
      <c r="AY49">
        <f>'nano-Axi'!S70</f>
        <v>0.88736400000000004</v>
      </c>
      <c r="AZ49">
        <f>'nano-Axi'!T70</f>
        <v>4.24</v>
      </c>
      <c r="BA49" s="9">
        <f>AZ49/'nano-Axi'!X70</f>
        <v>8826.7949666913337</v>
      </c>
      <c r="BB49" s="2">
        <f>'nano-Axi'!$X70*101325*0.006/'nano-Axi'!$E70/2844</f>
        <v>1.5797477009628917E-6</v>
      </c>
      <c r="BC49" s="2">
        <f>0.006/'nano-Axi'!$X70*'nano-Axi'!$O70</f>
        <v>61079755.736491449</v>
      </c>
      <c r="BD49" s="8" t="s">
        <v>548</v>
      </c>
      <c r="BE49" s="74">
        <v>0.1</v>
      </c>
      <c r="BF49" s="75">
        <v>0.9</v>
      </c>
      <c r="BG49" s="75">
        <v>0.26504</v>
      </c>
      <c r="BH49" s="75">
        <v>3.42</v>
      </c>
      <c r="BI49" s="75">
        <v>6.78</v>
      </c>
      <c r="BJ49" s="84">
        <v>-2.408130201045729E-2</v>
      </c>
      <c r="BK49" s="86">
        <v>0.14381270903010024</v>
      </c>
      <c r="BT49" t="s">
        <v>370</v>
      </c>
      <c r="BV49">
        <v>1</v>
      </c>
      <c r="BW49">
        <v>0.6</v>
      </c>
      <c r="BX49">
        <v>6.4</v>
      </c>
      <c r="BY49" s="3">
        <v>3</v>
      </c>
      <c r="BZ49">
        <f t="shared" si="6"/>
        <v>0.4</v>
      </c>
      <c r="CA49" s="21">
        <v>2.4399999999999999E-3</v>
      </c>
      <c r="CB49">
        <v>101325</v>
      </c>
      <c r="CC49">
        <f t="shared" si="13"/>
        <v>2844</v>
      </c>
      <c r="CD49" s="97">
        <f t="shared" si="14"/>
        <v>71</v>
      </c>
      <c r="CE49" s="100">
        <f t="shared" si="15"/>
        <v>9.7900000000000003E-9</v>
      </c>
      <c r="CF49" s="25">
        <f t="shared" si="7"/>
        <v>9.827366355494844E-7</v>
      </c>
      <c r="CG49" s="28">
        <f t="shared" si="8"/>
        <v>3052699.8704211214</v>
      </c>
      <c r="CH49" s="28">
        <f t="shared" si="9"/>
        <v>2.5776698637363527E-3</v>
      </c>
      <c r="CI49" s="102">
        <f t="shared" si="10"/>
        <v>1.203249374105137E-9</v>
      </c>
      <c r="CJ49" s="105">
        <f t="shared" si="11"/>
        <v>5.7293181736236902E-9</v>
      </c>
    </row>
    <row r="50" spans="1:89" x14ac:dyDescent="0.25">
      <c r="B50">
        <v>1</v>
      </c>
      <c r="C50">
        <v>0.6</v>
      </c>
      <c r="D50">
        <v>6.4</v>
      </c>
      <c r="E50">
        <v>7</v>
      </c>
      <c r="F50" t="s">
        <v>370</v>
      </c>
      <c r="M50" s="8"/>
      <c r="P50" s="87"/>
      <c r="Q50" s="76">
        <f>'nano-Axi'!M20</f>
        <v>0.7</v>
      </c>
      <c r="R50" s="8">
        <f t="shared" si="12"/>
        <v>0.30000000000000004</v>
      </c>
      <c r="S50" s="77">
        <f>'nano-Axi'!S20</f>
        <v>0.109858</v>
      </c>
      <c r="T50" s="77">
        <f>'nano-Axi'!T20</f>
        <v>10.53</v>
      </c>
      <c r="U50" s="9">
        <f>T50/'nano-Axi'!X17</f>
        <v>7174.7802759421338</v>
      </c>
      <c r="V50" s="2">
        <f>'nano-Axi'!$X17*101325*0.006/'nano-Axi'!$E17/2844</f>
        <v>4.8266374661336794E-6</v>
      </c>
      <c r="W50" s="2">
        <f>0.006/'nano-Axi'!$X17*'nano-Axi'!$O17</f>
        <v>19991268.11929176</v>
      </c>
      <c r="X50" t="s">
        <v>479</v>
      </c>
      <c r="Y50" s="51">
        <v>0.3</v>
      </c>
      <c r="Z50">
        <f t="shared" si="16"/>
        <v>0.7</v>
      </c>
      <c r="AA50" s="8">
        <f>'nano-Axi'!S47</f>
        <v>0.21782000000000001</v>
      </c>
      <c r="AB50" s="8">
        <f>'nano-Axi'!T47</f>
        <v>4.3099999999999996</v>
      </c>
      <c r="AC50" s="98">
        <f>AB50/'nano-Axi'!X47</f>
        <v>2084283.2469775476</v>
      </c>
      <c r="AD50" s="2">
        <f>'nano-Axi'!$X47*101325*0.006/'nano-Axi'!$E47/2844</f>
        <v>6.8005720545277493E-9</v>
      </c>
      <c r="AE50" s="2">
        <f>0.006/'nano-Axi'!$X47*'nano-Axi'!$O47</f>
        <v>14188601036.269432</v>
      </c>
      <c r="AF50" s="78" t="s">
        <v>547</v>
      </c>
      <c r="AG50" s="51">
        <v>0.3</v>
      </c>
      <c r="AH50">
        <f t="shared" si="1"/>
        <v>0.7</v>
      </c>
      <c r="AI50">
        <f>'nano-Axi'!S87</f>
        <v>0.15656</v>
      </c>
      <c r="AJ50">
        <f>'nano-Axi'!T87</f>
        <v>3.03</v>
      </c>
      <c r="AK50" s="8">
        <f>'nano-Axi'!U87</f>
        <v>3.1</v>
      </c>
      <c r="AL50" s="83">
        <f>(AI50-$K45)/$K45</f>
        <v>-0.32239774940489069</v>
      </c>
      <c r="AM50" s="85">
        <f>(AJ50-$L45)/$L45</f>
        <v>-0.23291139240506337</v>
      </c>
      <c r="AN50" s="8"/>
      <c r="AO50" s="51">
        <v>0.85</v>
      </c>
      <c r="AP50">
        <f t="shared" ref="AP50:AP51" si="17">1-AO50</f>
        <v>0.15000000000000002</v>
      </c>
      <c r="AQ50">
        <f>'nano-Axi'!S98</f>
        <v>3.1891449999999999</v>
      </c>
      <c r="AR50">
        <f>'nano-Axi'!T98</f>
        <v>0.06</v>
      </c>
      <c r="AS50" s="9">
        <f>AR50/'nano-Axi'!X98</f>
        <v>58.57659771512099</v>
      </c>
      <c r="AT50" s="2">
        <f>'nano-Axi'!$X98*101325*0.006/'nano-Axi'!$E98/2844</f>
        <v>3.3686199890758164E-6</v>
      </c>
      <c r="AU50" s="2">
        <f>0.006/'nano-Axi'!$X98*'nano-Axi'!$O98</f>
        <v>2864395.6282694167</v>
      </c>
      <c r="AV50" s="8"/>
      <c r="AW50" s="51">
        <v>0.85</v>
      </c>
      <c r="AX50">
        <f t="shared" si="3"/>
        <v>0.15000000000000002</v>
      </c>
      <c r="AY50">
        <f>'nano-Axi'!S71</f>
        <v>0</v>
      </c>
      <c r="AZ50">
        <f>'nano-Axi'!T71</f>
        <v>0</v>
      </c>
      <c r="BA50" s="9">
        <f>AZ50/'nano-Axi'!X71</f>
        <v>0</v>
      </c>
      <c r="BB50" s="83"/>
      <c r="BC50" s="89"/>
      <c r="BE50" s="51">
        <v>0.3</v>
      </c>
      <c r="BF50">
        <v>0.7</v>
      </c>
      <c r="BG50" s="8">
        <v>0.29774</v>
      </c>
      <c r="BH50" s="8">
        <v>4.47</v>
      </c>
      <c r="BI50" s="8">
        <v>4.49</v>
      </c>
      <c r="BJ50" s="83">
        <v>0.28863882276563513</v>
      </c>
      <c r="BK50" s="85">
        <v>0.13164556962025306</v>
      </c>
      <c r="BT50" t="s">
        <v>370</v>
      </c>
      <c r="BV50">
        <v>1</v>
      </c>
      <c r="BW50">
        <v>0.6</v>
      </c>
      <c r="BX50">
        <v>6.4</v>
      </c>
      <c r="BY50" s="3">
        <v>7</v>
      </c>
      <c r="BZ50">
        <f t="shared" si="6"/>
        <v>0.4</v>
      </c>
      <c r="CA50" s="21">
        <v>2.4399999999999999E-3</v>
      </c>
      <c r="CB50">
        <v>101325</v>
      </c>
      <c r="CC50">
        <f t="shared" si="13"/>
        <v>2844</v>
      </c>
      <c r="CD50" s="97">
        <f t="shared" si="14"/>
        <v>71</v>
      </c>
      <c r="CE50" s="100">
        <f t="shared" si="15"/>
        <v>9.7900000000000003E-9</v>
      </c>
      <c r="CF50" s="25">
        <f t="shared" si="7"/>
        <v>9.827366355494844E-7</v>
      </c>
      <c r="CG50" s="28">
        <f t="shared" si="8"/>
        <v>7122966.3643159503</v>
      </c>
      <c r="CH50" s="28">
        <f t="shared" si="9"/>
        <v>2.5776698637363527E-3</v>
      </c>
      <c r="CI50" s="102">
        <f t="shared" si="10"/>
        <v>1.203249374105137E-9</v>
      </c>
      <c r="CJ50" s="105">
        <f t="shared" si="11"/>
        <v>5.7293181736236902E-9</v>
      </c>
    </row>
    <row r="51" spans="1:89" x14ac:dyDescent="0.25">
      <c r="B51">
        <v>1.5</v>
      </c>
      <c r="C51">
        <v>0.12</v>
      </c>
      <c r="D51">
        <v>0.2</v>
      </c>
      <c r="E51">
        <v>200</v>
      </c>
      <c r="F51" t="s">
        <v>370</v>
      </c>
      <c r="H51" t="s">
        <v>572</v>
      </c>
      <c r="M51" s="8"/>
      <c r="P51" s="78"/>
      <c r="Q51" s="76">
        <f>'nano-Axi'!M21</f>
        <v>0.9</v>
      </c>
      <c r="R51" s="8">
        <f t="shared" si="12"/>
        <v>9.9999999999999978E-2</v>
      </c>
      <c r="S51" s="77">
        <f>'nano-Axi'!S21</f>
        <v>5.8112999999999998E-2</v>
      </c>
      <c r="T51" s="77">
        <f>'nano-Axi'!T21</f>
        <v>17.27</v>
      </c>
      <c r="U51" s="9">
        <f>T51/'nano-Axi'!X18</f>
        <v>4141.7320503330857</v>
      </c>
      <c r="V51" s="2">
        <f>'nano-Axi'!$X18*101325*0.006/'nano-Axi'!$E18/2844</f>
        <v>1.3713087681969545E-5</v>
      </c>
      <c r="W51" s="2">
        <f>0.006/'nano-Axi'!$X18*'nano-Axi'!$O18</f>
        <v>7036387.8608438177</v>
      </c>
      <c r="Y51" s="51">
        <v>0.5</v>
      </c>
      <c r="Z51">
        <f t="shared" si="16"/>
        <v>0.5</v>
      </c>
      <c r="AA51" s="8">
        <f>'nano-Axi'!S48</f>
        <v>0.12575</v>
      </c>
      <c r="AB51" s="8">
        <f>'nano-Axi'!T48</f>
        <v>5.28</v>
      </c>
      <c r="AC51" s="98">
        <f>AB51/'nano-Axi'!X48</f>
        <v>281391.56180606963</v>
      </c>
      <c r="AD51" s="2">
        <f>'nano-Axi'!$X48*101325*0.006/'nano-Axi'!$E48/2844</f>
        <v>6.170889456886292E-8</v>
      </c>
      <c r="AE51" s="2">
        <f>0.006/'nano-Axi'!$X48*'nano-Axi'!$O48</f>
        <v>1563641746.8541825</v>
      </c>
      <c r="AG51" s="51">
        <v>0.5</v>
      </c>
      <c r="AH51">
        <f t="shared" si="1"/>
        <v>0.5</v>
      </c>
      <c r="AI51">
        <f>'nano-Axi'!S88</f>
        <v>0.13728000000000001</v>
      </c>
      <c r="AJ51">
        <f>'nano-Axi'!T88</f>
        <v>3.64</v>
      </c>
      <c r="AK51" s="8">
        <f>'nano-Axi'!U88</f>
        <v>3.7</v>
      </c>
      <c r="AL51" s="83">
        <f>(AI51-$K46)/$K46</f>
        <v>-0.23712142261739363</v>
      </c>
      <c r="AM51" s="85">
        <f>(AJ51-$L46)/$L46</f>
        <v>-0.26016260162601623</v>
      </c>
      <c r="AN51" s="87"/>
      <c r="AO51" s="51">
        <v>0.9</v>
      </c>
      <c r="AP51">
        <f t="shared" si="17"/>
        <v>9.9999999999999978E-2</v>
      </c>
      <c r="AQ51">
        <f>'nano-Axi'!S99</f>
        <v>0</v>
      </c>
      <c r="AR51">
        <f>'nano-Axi'!T99</f>
        <v>0</v>
      </c>
      <c r="AS51" s="9">
        <f>AR51/'nano-Axi'!X99</f>
        <v>0</v>
      </c>
      <c r="AT51" s="94">
        <f>'nano-Axi'!$X99*101325*0.006/'nano-Axi'!$E99/2844</f>
        <v>8.9971568281402184E-6</v>
      </c>
      <c r="AU51" s="94">
        <f>0.006/'nano-Axi'!$X99*'nano-Axi'!$O99</f>
        <v>1072456.6164980668</v>
      </c>
      <c r="AV51" s="8"/>
      <c r="AW51" s="51">
        <v>0.9</v>
      </c>
      <c r="AX51">
        <f t="shared" si="3"/>
        <v>9.9999999999999978E-2</v>
      </c>
      <c r="AY51">
        <f>'nano-Axi'!S72</f>
        <v>0</v>
      </c>
      <c r="AZ51">
        <f>'nano-Axi'!T72</f>
        <v>0</v>
      </c>
      <c r="BA51" s="9">
        <f>AZ51/'nano-Axi'!X72</f>
        <v>0</v>
      </c>
      <c r="BB51" s="83"/>
      <c r="BC51" s="89"/>
      <c r="BD51" s="78"/>
      <c r="BE51" s="51">
        <v>0.5</v>
      </c>
      <c r="BF51">
        <v>0.5</v>
      </c>
      <c r="BG51" s="8">
        <v>0.23356299999999999</v>
      </c>
      <c r="BH51" s="8">
        <v>5.87</v>
      </c>
      <c r="BI51" s="8">
        <v>6.02</v>
      </c>
      <c r="BJ51" s="83">
        <v>0.29793275909974992</v>
      </c>
      <c r="BK51" s="85">
        <v>7.7064220183486229E-2</v>
      </c>
      <c r="BT51" t="s">
        <v>370</v>
      </c>
      <c r="BV51">
        <v>1.5</v>
      </c>
      <c r="BW51">
        <v>0.12</v>
      </c>
      <c r="BX51">
        <v>0.2</v>
      </c>
      <c r="BY51" s="3">
        <v>200</v>
      </c>
      <c r="BZ51">
        <f t="shared" si="6"/>
        <v>0.88</v>
      </c>
      <c r="CA51" s="21">
        <v>1.4999999999999999E-2</v>
      </c>
      <c r="CB51">
        <v>101325</v>
      </c>
      <c r="CC51">
        <f t="shared" si="13"/>
        <v>2844</v>
      </c>
      <c r="CD51" s="97">
        <v>85</v>
      </c>
      <c r="CE51" s="100">
        <f t="shared" si="15"/>
        <v>9.7900000000000003E-9</v>
      </c>
      <c r="CF51" s="25">
        <f t="shared" si="7"/>
        <v>4.2554330761012342E-5</v>
      </c>
      <c r="CG51" s="28">
        <f t="shared" si="8"/>
        <v>4699874.1708149966</v>
      </c>
      <c r="CH51" s="28">
        <f t="shared" si="9"/>
        <v>5.6739107681349793E-4</v>
      </c>
      <c r="CI51" s="102">
        <f t="shared" si="10"/>
        <v>2.6754886847602225E-7</v>
      </c>
      <c r="CJ51" s="105">
        <f t="shared" si="11"/>
        <v>1.2739442275896753E-6</v>
      </c>
    </row>
    <row r="52" spans="1:89" x14ac:dyDescent="0.25">
      <c r="B52">
        <v>1.5</v>
      </c>
      <c r="C52">
        <v>0.38</v>
      </c>
      <c r="D52">
        <v>1</v>
      </c>
      <c r="E52">
        <v>20</v>
      </c>
      <c r="F52" t="s">
        <v>370</v>
      </c>
      <c r="H52" t="s">
        <v>573</v>
      </c>
      <c r="I52" t="s">
        <v>631</v>
      </c>
      <c r="M52" s="8"/>
      <c r="P52" s="78"/>
      <c r="Q52" s="51"/>
      <c r="U52" s="8"/>
      <c r="V52" s="83"/>
      <c r="W52" s="85"/>
      <c r="Y52" s="51">
        <v>0.7</v>
      </c>
      <c r="Z52">
        <f t="shared" si="16"/>
        <v>0.30000000000000004</v>
      </c>
      <c r="AA52" s="8">
        <f>'nano-Axi'!S49</f>
        <v>9.4036999999999996E-2</v>
      </c>
      <c r="AB52" s="8">
        <f>'nano-Axi'!T49</f>
        <v>7.01</v>
      </c>
      <c r="AC52" s="98">
        <f>AB52/'nano-Axi'!X49</f>
        <v>49013.256566240772</v>
      </c>
      <c r="AD52" s="2">
        <f>'nano-Axi'!$X49*101325*0.006/'nano-Axi'!$E49/2844</f>
        <v>4.7035890749155502E-7</v>
      </c>
      <c r="AE52" s="2">
        <f>0.006/'nano-Axi'!$X49*'nano-Axi'!$O49</f>
        <v>205142503.23159835</v>
      </c>
      <c r="AG52" s="51">
        <v>0.7</v>
      </c>
      <c r="AH52">
        <f t="shared" si="1"/>
        <v>0.30000000000000004</v>
      </c>
      <c r="AI52">
        <f>'nano-Axi'!S89</f>
        <v>0.104134</v>
      </c>
      <c r="AJ52">
        <f>'nano-Axi'!T89</f>
        <v>4.76</v>
      </c>
      <c r="AK52" s="8">
        <f>'nano-Axi'!U89</f>
        <v>4.8499999999999996</v>
      </c>
      <c r="AL52" s="83">
        <f>(AI52-$K47)/$K47</f>
        <v>-0.15391177880513826</v>
      </c>
      <c r="AM52" s="83">
        <f>(AJ52-$L47)/$L47</f>
        <v>-0.32482269503546102</v>
      </c>
      <c r="AN52" s="93" t="s">
        <v>569</v>
      </c>
      <c r="AO52" s="74">
        <v>0.1</v>
      </c>
      <c r="AP52" s="75">
        <f>1-AO52</f>
        <v>0.9</v>
      </c>
      <c r="AQ52" s="75">
        <f>'nano-Axi'!S100</f>
        <v>0.34653</v>
      </c>
      <c r="AR52" s="75">
        <f>'nano-Axi'!T100</f>
        <v>1.98</v>
      </c>
      <c r="AS52" s="9">
        <f>AR52/'nano-Axi'!X100</f>
        <v>42736343.449296802</v>
      </c>
      <c r="AT52" s="2">
        <f>'nano-Axi'!$X100*101325*0.006/'nano-Axi'!$E100/2844</f>
        <v>1.5236764091077271E-10</v>
      </c>
      <c r="AU52" s="2">
        <f>0.006/'nano-Axi'!$X100*'nano-Axi'!$O100</f>
        <v>315989933382.67938</v>
      </c>
      <c r="AV52" s="8"/>
      <c r="AW52" s="51">
        <v>0.7</v>
      </c>
      <c r="AX52">
        <f t="shared" si="3"/>
        <v>0.30000000000000004</v>
      </c>
      <c r="BA52" s="8"/>
      <c r="BB52" s="83"/>
      <c r="BC52" s="89"/>
      <c r="BD52" s="78"/>
      <c r="BE52" s="51">
        <v>0.7</v>
      </c>
      <c r="BF52">
        <v>0.30000000000000004</v>
      </c>
      <c r="BG52" s="8">
        <v>0.166348</v>
      </c>
      <c r="BH52" s="8">
        <v>8.2899999999999991</v>
      </c>
      <c r="BI52" s="8">
        <v>8.66</v>
      </c>
      <c r="BJ52" s="83">
        <v>0.35157665526459037</v>
      </c>
      <c r="BK52" s="85">
        <v>5.0697084917617173E-2</v>
      </c>
      <c r="BT52" t="s">
        <v>370</v>
      </c>
      <c r="BV52">
        <v>1.5</v>
      </c>
      <c r="BW52">
        <v>0.38</v>
      </c>
      <c r="BX52">
        <v>1</v>
      </c>
      <c r="BY52" s="3">
        <v>20</v>
      </c>
      <c r="BZ52">
        <f t="shared" si="6"/>
        <v>0.62</v>
      </c>
      <c r="CA52" s="21">
        <v>2.4399999999999999E-3</v>
      </c>
      <c r="CB52">
        <v>101325</v>
      </c>
      <c r="CC52">
        <f t="shared" si="13"/>
        <v>2844</v>
      </c>
      <c r="CD52" s="97">
        <f>CD51</f>
        <v>85</v>
      </c>
      <c r="CE52" s="100">
        <f t="shared" si="15"/>
        <v>9.7900000000000003E-9</v>
      </c>
      <c r="CF52" s="25">
        <f t="shared" si="7"/>
        <v>9.1236275618729959E-6</v>
      </c>
      <c r="CG52" s="28">
        <f t="shared" si="8"/>
        <v>2192110.5244999924</v>
      </c>
      <c r="CH52" s="28">
        <f t="shared" si="9"/>
        <v>3.7391916237184413E-3</v>
      </c>
      <c r="CI52" s="102">
        <f t="shared" si="10"/>
        <v>9.3309415612002419E-9</v>
      </c>
      <c r="CJ52" s="105">
        <f t="shared" si="11"/>
        <v>4.4429637126022688E-8</v>
      </c>
    </row>
    <row r="53" spans="1:89" x14ac:dyDescent="0.25">
      <c r="B53">
        <v>1.5</v>
      </c>
      <c r="C53">
        <v>0.4</v>
      </c>
      <c r="D53">
        <v>1.1000000000000001</v>
      </c>
      <c r="E53">
        <v>30</v>
      </c>
      <c r="F53" t="s">
        <v>370</v>
      </c>
      <c r="H53" t="s">
        <v>574</v>
      </c>
      <c r="I53" t="s">
        <v>632</v>
      </c>
      <c r="M53" s="8"/>
      <c r="P53" s="78"/>
      <c r="Q53" s="51"/>
      <c r="U53" s="8"/>
      <c r="V53" s="83"/>
      <c r="W53" s="85"/>
      <c r="Y53" s="51">
        <v>0.9</v>
      </c>
      <c r="Z53">
        <f t="shared" si="16"/>
        <v>9.9999999999999978E-2</v>
      </c>
      <c r="AA53" s="82">
        <f>'nano-Axi'!S50</f>
        <v>5.5808999999999997E-2</v>
      </c>
      <c r="AB53" s="82">
        <f>'nano-Axi'!T50</f>
        <v>12.34</v>
      </c>
      <c r="AC53" s="98">
        <f>AB53/'nano-Axi'!X50</f>
        <v>4510.6048560279978</v>
      </c>
      <c r="AD53" s="2">
        <f>'nano-Axi'!$X50*101325*0.006/'nano-Axi'!$E50/2844</f>
        <v>8.9971568281402184E-6</v>
      </c>
      <c r="AE53" s="2">
        <f>0.006/'nano-Axi'!$X50*'nano-Axi'!$O50</f>
        <v>10724566.164980669</v>
      </c>
      <c r="AG53" s="51">
        <v>0.9</v>
      </c>
      <c r="AH53">
        <f t="shared" si="1"/>
        <v>9.9999999999999978E-2</v>
      </c>
      <c r="AI53">
        <f>'nano-Axi'!S90</f>
        <v>5.5454000000000003E-2</v>
      </c>
      <c r="AJ53">
        <f>'nano-Axi'!T90</f>
        <v>8.0299999999999994</v>
      </c>
      <c r="AK53" s="8">
        <f>'nano-Axi'!U90</f>
        <v>8.5299999999999994</v>
      </c>
      <c r="AL53" s="83">
        <f>(AI53-$K48)/$K48</f>
        <v>-0.13126439302555101</v>
      </c>
      <c r="AM53" s="85">
        <f>(AJ53-$L48)/$L48</f>
        <v>-0.37751937984496131</v>
      </c>
      <c r="AN53" s="53" t="s">
        <v>569</v>
      </c>
      <c r="AO53" s="51">
        <v>0.3</v>
      </c>
      <c r="AP53">
        <f>1-AO53</f>
        <v>0.7</v>
      </c>
      <c r="AQ53" s="8">
        <f>'nano-Axi'!S101</f>
        <v>0.30757000000000001</v>
      </c>
      <c r="AR53" s="8">
        <f>'nano-Axi'!T101</f>
        <v>2.66</v>
      </c>
      <c r="AS53" s="9">
        <f>AR53/'nano-Axi'!X101</f>
        <v>1286355.7858376515</v>
      </c>
      <c r="AT53" s="2">
        <f>'nano-Axi'!$X101*101325*0.006/'nano-Axi'!$E101/2844</f>
        <v>6.8005720545277493E-9</v>
      </c>
      <c r="AU53" s="2">
        <f>0.006/'nano-Axi'!$X101*'nano-Axi'!$O101</f>
        <v>7079792746.1139908</v>
      </c>
      <c r="AV53" s="82"/>
      <c r="AW53" s="51">
        <v>0.9</v>
      </c>
      <c r="AX53">
        <f t="shared" si="3"/>
        <v>9.9999999999999978E-2</v>
      </c>
      <c r="AY53" s="82"/>
      <c r="AZ53" s="82"/>
      <c r="BA53" s="82"/>
      <c r="BB53" s="83"/>
      <c r="BC53" s="89"/>
      <c r="BD53" s="78"/>
      <c r="BE53" s="51">
        <v>0.9</v>
      </c>
      <c r="BF53">
        <v>9.9999999999999978E-2</v>
      </c>
      <c r="BG53" s="82">
        <v>0.14632500000000001</v>
      </c>
      <c r="BH53" s="82">
        <v>15.16</v>
      </c>
      <c r="BI53" s="8">
        <v>15.93</v>
      </c>
      <c r="BJ53" s="83">
        <v>1.2923096204157725</v>
      </c>
      <c r="BK53" s="85">
        <v>0.17156105100463684</v>
      </c>
      <c r="BT53" t="s">
        <v>370</v>
      </c>
      <c r="BV53">
        <v>1.5</v>
      </c>
      <c r="BW53">
        <v>0.4</v>
      </c>
      <c r="BX53">
        <v>1.1000000000000001</v>
      </c>
      <c r="BY53" s="3">
        <v>30</v>
      </c>
      <c r="BZ53">
        <f t="shared" si="6"/>
        <v>0.6</v>
      </c>
      <c r="CA53" s="21">
        <v>2.4399999999999999E-3</v>
      </c>
      <c r="CB53">
        <v>101325</v>
      </c>
      <c r="CC53">
        <f t="shared" si="13"/>
        <v>2844</v>
      </c>
      <c r="CD53" s="97">
        <f t="shared" ref="CD53:CD55" si="18">CD52</f>
        <v>85</v>
      </c>
      <c r="CE53" s="100">
        <f t="shared" si="15"/>
        <v>9.7900000000000003E-9</v>
      </c>
      <c r="CF53" s="25">
        <f t="shared" si="7"/>
        <v>7.4626563262038926E-6</v>
      </c>
      <c r="CG53" s="28">
        <f t="shared" si="8"/>
        <v>4020016.2902664999</v>
      </c>
      <c r="CH53" s="28">
        <f t="shared" si="9"/>
        <v>3.3643122782066734E-3</v>
      </c>
      <c r="CI53" s="102">
        <f t="shared" si="10"/>
        <v>7.6322284747926156E-9</v>
      </c>
      <c r="CJ53" s="105">
        <f t="shared" si="11"/>
        <v>3.6341149429974073E-8</v>
      </c>
    </row>
    <row r="54" spans="1:89" x14ac:dyDescent="0.25">
      <c r="B54">
        <v>1.5</v>
      </c>
      <c r="C54">
        <v>0.5</v>
      </c>
      <c r="D54">
        <v>0.5</v>
      </c>
      <c r="E54">
        <v>20</v>
      </c>
      <c r="F54" t="s">
        <v>370</v>
      </c>
      <c r="H54" t="s">
        <v>629</v>
      </c>
      <c r="I54" t="s">
        <v>633</v>
      </c>
      <c r="K54" t="s">
        <v>575</v>
      </c>
      <c r="L54" t="s">
        <v>576</v>
      </c>
      <c r="M54" s="8"/>
      <c r="P54" s="73" t="s">
        <v>627</v>
      </c>
      <c r="Q54" s="76">
        <f>'nano-Axi'!M22</f>
        <v>0.1</v>
      </c>
      <c r="R54" s="75">
        <f t="shared" ref="R54:R58" si="19">1-Q54</f>
        <v>0.9</v>
      </c>
      <c r="S54" s="77">
        <f>'nano-Axi'!S22</f>
        <v>0.26662000000000002</v>
      </c>
      <c r="T54" s="77">
        <f>'nano-Axi'!T22</f>
        <v>3.14</v>
      </c>
      <c r="U54" s="9">
        <f>T54/'nano-Axi'!X22</f>
        <v>10843807.54996299</v>
      </c>
      <c r="V54" s="2">
        <f>'nano-Axi'!$X22*101325*0.006/'nano-Axi'!$E22/2844</f>
        <v>9.5229775569232922E-10</v>
      </c>
      <c r="W54" s="2">
        <f>0.006/'nano-Axi'!$X22*'nano-Axi'!$O22</f>
        <v>101323985196.15099</v>
      </c>
      <c r="X54" s="73">
        <v>80.8</v>
      </c>
      <c r="Y54" s="74">
        <v>0.1</v>
      </c>
      <c r="Z54" s="75">
        <f t="shared" si="16"/>
        <v>0.9</v>
      </c>
      <c r="AA54" s="75">
        <f>'nano-Axi'!S35</f>
        <v>2.1899999999999999E-2</v>
      </c>
      <c r="AB54" s="75">
        <f>'nano-Axi'!T35</f>
        <v>0.64</v>
      </c>
      <c r="AC54" s="98">
        <f>AB54/'nano-Axi'!X35</f>
        <v>13813767.579570685</v>
      </c>
      <c r="AD54" s="2">
        <f>'nano-Axi'!$X35*101325*0.006/'nano-Axi'!$E35/2844</f>
        <v>9.9038966592002252E-9</v>
      </c>
      <c r="AE54" s="2">
        <f>0.006/'nano-Axi'!$X35*'nano-Axi'!$O35</f>
        <v>633274907475.9436</v>
      </c>
      <c r="AF54" s="75"/>
      <c r="AG54" s="74">
        <v>0.1</v>
      </c>
      <c r="AH54" s="75">
        <f t="shared" si="1"/>
        <v>0.9</v>
      </c>
      <c r="AI54" s="75"/>
      <c r="AJ54" s="75"/>
      <c r="AK54" s="75"/>
      <c r="AL54" s="84">
        <f>(AI54-$K44)/$K44</f>
        <v>-1</v>
      </c>
      <c r="AM54" s="86">
        <f>(AJ54-$L44)/$L44</f>
        <v>-1</v>
      </c>
      <c r="AN54" s="8"/>
      <c r="AO54" s="51">
        <v>0.5</v>
      </c>
      <c r="AP54">
        <f>1-AO54</f>
        <v>0.5</v>
      </c>
      <c r="AQ54" s="8">
        <f>'nano-Axi'!S102</f>
        <v>0.19767000000000001</v>
      </c>
      <c r="AR54" s="8">
        <f>'nano-Axi'!T102</f>
        <v>3.57</v>
      </c>
      <c r="AS54" s="9">
        <f>AR54/'nano-Axi'!X102</f>
        <v>190259.06735751298</v>
      </c>
      <c r="AT54" s="2">
        <f>'nano-Axi'!$X102*101325*0.006/'nano-Axi'!$E102/2844</f>
        <v>6.170889456886292E-8</v>
      </c>
      <c r="AU54" s="2">
        <f>0.006/'nano-Axi'!$X102*'nano-Axi'!$O102</f>
        <v>780222057.73501134</v>
      </c>
      <c r="AV54" s="8" t="s">
        <v>602</v>
      </c>
      <c r="AW54" s="74">
        <v>0.1</v>
      </c>
      <c r="AX54" s="75">
        <f t="shared" si="3"/>
        <v>0.9</v>
      </c>
      <c r="AY54" s="8">
        <f>'nano-Axi'!S73</f>
        <v>1.3071299999999999</v>
      </c>
      <c r="AZ54" s="8">
        <f>'nano-Axi'!T73</f>
        <v>0.97</v>
      </c>
      <c r="BA54" s="9">
        <f>AZ54/'nano-Axi'!X73</f>
        <v>20936491.487786818</v>
      </c>
      <c r="BB54" s="2">
        <f>'nano-Axi'!$X73*101325*0.006/'nano-Axi'!$E73/2844</f>
        <v>1.5236764091077271E-10</v>
      </c>
      <c r="BC54" s="2">
        <f>0.006/'nano-Axi'!$X73*'nano-Axi'!$O73</f>
        <v>633274907475.9436</v>
      </c>
      <c r="BD54" s="75"/>
      <c r="BE54" s="74">
        <v>0.1</v>
      </c>
      <c r="BF54" s="75">
        <f t="shared" ref="BF54:BF58" si="20">1-BE54</f>
        <v>0.9</v>
      </c>
      <c r="BG54" s="8"/>
      <c r="BH54" s="8"/>
      <c r="BI54" s="75"/>
      <c r="BJ54" s="84">
        <f>(BG54-$K44)/$K44</f>
        <v>-1</v>
      </c>
      <c r="BK54" s="86">
        <f>(BH54-$L44)/$L44</f>
        <v>-1</v>
      </c>
      <c r="BT54" t="s">
        <v>370</v>
      </c>
      <c r="BV54">
        <v>1.5</v>
      </c>
      <c r="BW54">
        <v>0.5</v>
      </c>
      <c r="BX54">
        <v>0.5</v>
      </c>
      <c r="BY54" s="3">
        <v>20</v>
      </c>
      <c r="BZ54">
        <f t="shared" si="6"/>
        <v>0.5</v>
      </c>
      <c r="CA54" s="21">
        <v>2.4399999999999999E-3</v>
      </c>
      <c r="CB54">
        <v>101325</v>
      </c>
      <c r="CC54">
        <f t="shared" si="13"/>
        <v>2844</v>
      </c>
      <c r="CD54" s="97">
        <f t="shared" si="18"/>
        <v>85</v>
      </c>
      <c r="CE54" s="100">
        <f t="shared" si="15"/>
        <v>9.7900000000000003E-9</v>
      </c>
      <c r="CF54" s="25">
        <f t="shared" si="7"/>
        <v>2.763946787482923E-6</v>
      </c>
      <c r="CG54" s="28">
        <f t="shared" si="8"/>
        <v>7236029.3224797007</v>
      </c>
      <c r="CH54" s="28">
        <f t="shared" si="9"/>
        <v>5.6638253841863177E-4</v>
      </c>
      <c r="CI54" s="102">
        <f t="shared" si="10"/>
        <v>2.8267512869602284E-9</v>
      </c>
      <c r="CJ54" s="105">
        <f t="shared" si="11"/>
        <v>1.3459684974064471E-8</v>
      </c>
    </row>
    <row r="55" spans="1:89" x14ac:dyDescent="0.25">
      <c r="B55">
        <v>1.5</v>
      </c>
      <c r="C55">
        <v>0.57999999999999996</v>
      </c>
      <c r="D55">
        <v>1.1000000000000001</v>
      </c>
      <c r="E55">
        <v>20</v>
      </c>
      <c r="F55" t="s">
        <v>370</v>
      </c>
      <c r="H55" t="s">
        <v>630</v>
      </c>
      <c r="I55" t="s">
        <v>634</v>
      </c>
      <c r="K55" t="s">
        <v>174</v>
      </c>
      <c r="M55" s="8"/>
      <c r="P55" s="78"/>
      <c r="Q55" s="76">
        <f>'nano-Axi'!M23</f>
        <v>0.3</v>
      </c>
      <c r="R55">
        <f t="shared" si="19"/>
        <v>0.7</v>
      </c>
      <c r="S55" s="77">
        <f>'nano-Axi'!S23</f>
        <v>0.22092000000000001</v>
      </c>
      <c r="T55" s="77">
        <f>'nano-Axi'!T23</f>
        <v>4.5</v>
      </c>
      <c r="U55" s="9">
        <f>T55/'nano-Axi'!X23</f>
        <v>348186.52849740942</v>
      </c>
      <c r="V55" s="2">
        <f>'nano-Axi'!$X23*101325*0.006/'nano-Axi'!$E23/2844</f>
        <v>4.2503575340798434E-8</v>
      </c>
      <c r="W55" s="2">
        <f>0.006/'nano-Axi'!$X23*'nano-Axi'!$O23</f>
        <v>2270176165.8031092</v>
      </c>
      <c r="X55" s="78" t="s">
        <v>546</v>
      </c>
      <c r="Y55" s="51">
        <v>0.3</v>
      </c>
      <c r="Z55">
        <f t="shared" si="16"/>
        <v>0.7</v>
      </c>
      <c r="AA55">
        <f>'nano-Axi'!S36</f>
        <v>1.813E-2</v>
      </c>
      <c r="AB55">
        <f>'nano-Axi'!T36</f>
        <v>0.81</v>
      </c>
      <c r="AC55" s="98">
        <f>AB55/'nano-Axi'!X36</f>
        <v>391709.84455958556</v>
      </c>
      <c r="AD55" s="2">
        <f>'nano-Axi'!$X36*101325*0.006/'nano-Axi'!$E36/2844</f>
        <v>4.4203718354430375E-7</v>
      </c>
      <c r="AE55" s="2">
        <f>0.006/'nano-Axi'!$X36*'nano-Axi'!$O36</f>
        <v>14188601036.269432</v>
      </c>
      <c r="AG55" s="51">
        <v>0.3</v>
      </c>
      <c r="AH55">
        <f t="shared" si="1"/>
        <v>0.7</v>
      </c>
      <c r="AK55" s="8"/>
      <c r="AL55" s="83">
        <f>(AI55-$K45)/$K45</f>
        <v>-1</v>
      </c>
      <c r="AM55" s="85">
        <f>(AJ55-$L45)/$L45</f>
        <v>-1</v>
      </c>
      <c r="AN55" s="8"/>
      <c r="AO55" s="51">
        <v>0.7</v>
      </c>
      <c r="AP55">
        <f>1-AO55</f>
        <v>0.30000000000000004</v>
      </c>
      <c r="AQ55" s="8">
        <f>'nano-Axi'!S103</f>
        <v>0.154255</v>
      </c>
      <c r="AR55" s="8">
        <f>'nano-Axi'!T103</f>
        <v>5.01</v>
      </c>
      <c r="AS55" s="9">
        <f>AR55/'nano-Axi'!X103</f>
        <v>35029.445848340409</v>
      </c>
      <c r="AT55" s="2">
        <f>'nano-Axi'!$X103*101325*0.006/'nano-Axi'!$E103/2844</f>
        <v>4.7035890749155502E-7</v>
      </c>
      <c r="AU55" s="2">
        <f>0.006/'nano-Axi'!$X103*'nano-Axi'!$O103</f>
        <v>102361494.45503066</v>
      </c>
      <c r="AV55" s="8"/>
      <c r="AW55" s="51">
        <v>0.3</v>
      </c>
      <c r="AX55">
        <f t="shared" si="3"/>
        <v>0.7</v>
      </c>
      <c r="AY55" s="8">
        <f>'nano-Axi'!S74</f>
        <v>1.2837099999999999</v>
      </c>
      <c r="AZ55" s="8">
        <f>'nano-Axi'!T74</f>
        <v>1.28</v>
      </c>
      <c r="BA55" s="9">
        <f>AZ55/'nano-Axi'!X74</f>
        <v>618998.27288428333</v>
      </c>
      <c r="BB55" s="2">
        <f>'nano-Axi'!$X74*101325*0.006/'nano-Axi'!$E74/2844</f>
        <v>6.8005720545277493E-9</v>
      </c>
      <c r="BC55" s="2">
        <f>0.006/'nano-Axi'!$X74*'nano-Axi'!$O74</f>
        <v>14188601036.269432</v>
      </c>
      <c r="BE55" s="51">
        <v>0.3</v>
      </c>
      <c r="BF55">
        <f t="shared" si="20"/>
        <v>0.7</v>
      </c>
      <c r="BI55" s="8"/>
      <c r="BJ55" s="83">
        <f>(BG55-$K45)/$K45</f>
        <v>-1</v>
      </c>
      <c r="BK55" s="85">
        <f>(BH55-$L45)/$L45</f>
        <v>-1</v>
      </c>
      <c r="BT55" t="s">
        <v>370</v>
      </c>
      <c r="BV55">
        <v>1.5</v>
      </c>
      <c r="BW55">
        <v>0.57999999999999996</v>
      </c>
      <c r="BX55">
        <v>1.1000000000000001</v>
      </c>
      <c r="BY55" s="3">
        <v>20</v>
      </c>
      <c r="BZ55">
        <f t="shared" si="6"/>
        <v>0.42000000000000004</v>
      </c>
      <c r="CA55" s="21">
        <v>2.4399999999999999E-3</v>
      </c>
      <c r="CB55">
        <v>101325</v>
      </c>
      <c r="CC55">
        <f t="shared" si="13"/>
        <v>2844</v>
      </c>
      <c r="CD55" s="97">
        <f t="shared" si="18"/>
        <v>85</v>
      </c>
      <c r="CE55" s="100">
        <f t="shared" si="15"/>
        <v>9.7900000000000003E-9</v>
      </c>
      <c r="CF55" s="25">
        <f t="shared" si="7"/>
        <v>1.2174511866292207E-6</v>
      </c>
      <c r="CG55" s="28">
        <f t="shared" si="8"/>
        <v>16427763.363042394</v>
      </c>
      <c r="CH55" s="28">
        <f t="shared" si="9"/>
        <v>5.4885094479186186E-4</v>
      </c>
      <c r="CI55" s="102">
        <f t="shared" si="10"/>
        <v>1.2451150377426249E-9</v>
      </c>
      <c r="CJ55" s="105">
        <f t="shared" si="11"/>
        <v>5.9286631412514209E-9</v>
      </c>
    </row>
    <row r="56" spans="1:89" x14ac:dyDescent="0.25">
      <c r="B56">
        <v>2</v>
      </c>
      <c r="C56">
        <v>0.12</v>
      </c>
      <c r="D56">
        <v>0.1</v>
      </c>
      <c r="E56">
        <v>200</v>
      </c>
      <c r="F56" t="s">
        <v>370</v>
      </c>
      <c r="M56" s="8"/>
      <c r="P56" s="78"/>
      <c r="Q56" s="76">
        <f>'nano-Axi'!M24</f>
        <v>0.5</v>
      </c>
      <c r="R56">
        <f t="shared" si="19"/>
        <v>0.5</v>
      </c>
      <c r="S56" s="77">
        <f>'nano-Axi'!S24</f>
        <v>0.17083999999999999</v>
      </c>
      <c r="T56" s="77">
        <f>'nano-Axi'!T24</f>
        <v>6.12</v>
      </c>
      <c r="U56" s="9">
        <f>T56/'nano-Axi'!X24</f>
        <v>52185.344189489289</v>
      </c>
      <c r="V56" s="2">
        <f>'nano-Axi'!$X24*101325*0.006/'nano-Axi'!$E24/2844</f>
        <v>3.8568059105539312E-7</v>
      </c>
      <c r="W56" s="2">
        <f>0.006/'nano-Axi'!$X24*'nano-Axi'!$O24</f>
        <v>250182679.49666923</v>
      </c>
      <c r="X56" s="78"/>
      <c r="Y56" s="51">
        <v>0.5</v>
      </c>
      <c r="Z56">
        <f t="shared" si="16"/>
        <v>0.5</v>
      </c>
      <c r="AA56">
        <f>'nano-Axi'!S37</f>
        <v>1.4120000000000001E-2</v>
      </c>
      <c r="AB56">
        <f>'nano-Axi'!T37</f>
        <v>0.96</v>
      </c>
      <c r="AC56" s="98">
        <f>AB56/'nano-Axi'!X37</f>
        <v>51162.102146558114</v>
      </c>
      <c r="AD56" s="2">
        <f>'nano-Axi'!$X37*101325*0.006/'nano-Axi'!$E37/2844</f>
        <v>4.0110781469760892E-6</v>
      </c>
      <c r="AE56" s="2">
        <f>0.006/'nano-Axi'!$X37*'nano-Axi'!$O37</f>
        <v>1563641746.8541825</v>
      </c>
      <c r="AG56" s="51">
        <v>0.5</v>
      </c>
      <c r="AH56">
        <f t="shared" si="1"/>
        <v>0.5</v>
      </c>
      <c r="AK56" s="8"/>
      <c r="AL56" s="83">
        <f>(AI56-$K46)/$K46</f>
        <v>-1</v>
      </c>
      <c r="AM56" s="85">
        <f>(AJ56-$L46)/$L46</f>
        <v>-1</v>
      </c>
      <c r="AN56" s="87"/>
      <c r="AO56" s="51">
        <v>0.9</v>
      </c>
      <c r="AP56">
        <f>1-AO56</f>
        <v>9.9999999999999978E-2</v>
      </c>
      <c r="AQ56" s="82">
        <f>'nano-Axi'!S104</f>
        <v>0.12922</v>
      </c>
      <c r="AR56" s="82">
        <f>'nano-Axi'!T104</f>
        <v>8.83</v>
      </c>
      <c r="AS56" s="9">
        <f>AR56/'nano-Axi'!X104</f>
        <v>3227.6046092971815</v>
      </c>
      <c r="AT56" s="2">
        <f>'nano-Axi'!$X104*101325*0.006/'nano-Axi'!$E104/2844</f>
        <v>8.9971568281402184E-6</v>
      </c>
      <c r="AU56" s="2">
        <f>0.006/'nano-Axi'!$X104*'nano-Axi'!$O104</f>
        <v>5351317.2684157118</v>
      </c>
      <c r="AV56" s="8"/>
      <c r="AW56" s="51">
        <v>0.5</v>
      </c>
      <c r="AX56">
        <f t="shared" si="3"/>
        <v>0.5</v>
      </c>
      <c r="AY56" s="8">
        <f>'nano-Axi'!S75</f>
        <v>1.43377</v>
      </c>
      <c r="AZ56" s="8">
        <f>'nano-Axi'!T75</f>
        <v>2.65</v>
      </c>
      <c r="BA56" s="9">
        <f>AZ56/'nano-Axi'!X75</f>
        <v>141228.71946706146</v>
      </c>
      <c r="BB56" s="2">
        <f>'nano-Axi'!$X75*101325*0.006/'nano-Axi'!$E75/2844</f>
        <v>6.170889456886292E-8</v>
      </c>
      <c r="BC56" s="2">
        <f>0.006/'nano-Axi'!$X75*'nano-Axi'!$O75</f>
        <v>1563641746.8541825</v>
      </c>
      <c r="BE56" s="51">
        <v>0.5</v>
      </c>
      <c r="BF56">
        <f t="shared" si="20"/>
        <v>0.5</v>
      </c>
      <c r="BI56" s="8"/>
      <c r="BJ56" s="83">
        <f>(BG56-$K46)/$K46</f>
        <v>-1</v>
      </c>
      <c r="BK56" s="85">
        <f>(BH56-$L46)/$L46</f>
        <v>-1</v>
      </c>
      <c r="BT56" t="s">
        <v>370</v>
      </c>
      <c r="BV56">
        <v>2</v>
      </c>
      <c r="BW56">
        <v>0.12</v>
      </c>
      <c r="BX56">
        <v>0.1</v>
      </c>
      <c r="BY56" s="3">
        <v>200</v>
      </c>
      <c r="BZ56">
        <f t="shared" si="6"/>
        <v>0.88</v>
      </c>
      <c r="CA56" s="21">
        <v>1.4999999999999999E-2</v>
      </c>
      <c r="CB56">
        <v>101325</v>
      </c>
      <c r="CC56">
        <f t="shared" si="13"/>
        <v>2844</v>
      </c>
      <c r="CD56" s="97">
        <v>97</v>
      </c>
      <c r="CE56" s="100">
        <f t="shared" si="15"/>
        <v>9.7900000000000003E-9</v>
      </c>
      <c r="CF56" s="25">
        <f t="shared" si="7"/>
        <v>4.2554330761012342E-5</v>
      </c>
      <c r="CG56" s="28">
        <f t="shared" si="8"/>
        <v>4699874.1708149966</v>
      </c>
      <c r="CH56" s="28">
        <f t="shared" si="9"/>
        <v>2.8369553840674897E-4</v>
      </c>
      <c r="CI56" s="102">
        <f t="shared" si="10"/>
        <v>2.3445003938620506E-7</v>
      </c>
      <c r="CJ56" s="105">
        <f t="shared" si="11"/>
        <v>1.1163428798466228E-6</v>
      </c>
    </row>
    <row r="57" spans="1:89" x14ac:dyDescent="0.25">
      <c r="B57">
        <v>2</v>
      </c>
      <c r="C57">
        <v>0.36</v>
      </c>
      <c r="D57">
        <v>1.1000000000000001</v>
      </c>
      <c r="E57">
        <v>20</v>
      </c>
      <c r="F57" t="s">
        <v>370</v>
      </c>
      <c r="H57" t="s">
        <v>639</v>
      </c>
      <c r="M57" s="8"/>
      <c r="P57" s="78"/>
      <c r="Q57" s="76">
        <f>'nano-Axi'!M25</f>
        <v>0.7</v>
      </c>
      <c r="R57">
        <f t="shared" si="19"/>
        <v>0.30000000000000004</v>
      </c>
      <c r="S57" s="77">
        <f>'nano-Axi'!S25</f>
        <v>0.11011600000000001</v>
      </c>
      <c r="T57" s="77">
        <f>'nano-Axi'!T25</f>
        <v>8.64</v>
      </c>
      <c r="U57" s="9">
        <f>T57/'nano-Axi'!X25</f>
        <v>9665.6099682127333</v>
      </c>
      <c r="V57" s="2">
        <f>'nano-Axi'!$X25*101325*0.006/'nano-Axi'!$E25/2844</f>
        <v>2.9397431718222178E-6</v>
      </c>
      <c r="W57" s="2">
        <f>0.006/'nano-Axi'!$X25*'nano-Axi'!$O25</f>
        <v>32822800.517055739</v>
      </c>
      <c r="X57" s="78"/>
      <c r="Y57" s="51">
        <v>0.7</v>
      </c>
      <c r="Z57">
        <f t="shared" si="16"/>
        <v>0.30000000000000004</v>
      </c>
      <c r="AA57">
        <f>'nano-Axi'!S38</f>
        <v>9.7199999999999995E-3</v>
      </c>
      <c r="AB57">
        <f>'nano-Axi'!T38</f>
        <v>1.18</v>
      </c>
      <c r="AC57" s="98">
        <f>AB57/'nano-Axi'!X38</f>
        <v>8250.4483235612133</v>
      </c>
      <c r="AD57" s="2">
        <f>'nano-Axi'!$X38*101325*0.006/'nano-Axi'!$E38/2844</f>
        <v>3.0573328986951078E-5</v>
      </c>
      <c r="AE57" s="2">
        <f>0.006/'nano-Axi'!$X38*'nano-Axi'!$O38</f>
        <v>205142503.23159835</v>
      </c>
      <c r="AG57" s="51">
        <v>0.7</v>
      </c>
      <c r="AH57">
        <f t="shared" si="1"/>
        <v>0.30000000000000004</v>
      </c>
      <c r="AK57" s="8"/>
      <c r="AL57" s="83">
        <f>(AI57-$K47)/$K47</f>
        <v>-1</v>
      </c>
      <c r="AM57" s="85">
        <f>(AJ57-$L47)/$L47</f>
        <v>-1</v>
      </c>
      <c r="AN57" s="8"/>
      <c r="AO57" s="74"/>
      <c r="AP57" s="75"/>
      <c r="AQ57" s="8"/>
      <c r="AR57" s="8"/>
      <c r="AS57" s="75"/>
      <c r="AT57" s="84"/>
      <c r="AU57" s="90"/>
      <c r="AV57" s="8"/>
      <c r="AW57" s="51">
        <v>0.7</v>
      </c>
      <c r="AX57">
        <f t="shared" si="3"/>
        <v>0.30000000000000004</v>
      </c>
      <c r="AY57" s="8">
        <f>'nano-Axi'!S77</f>
        <v>0</v>
      </c>
      <c r="AZ57" s="8">
        <f>'nano-Axi'!T77</f>
        <v>0</v>
      </c>
      <c r="BA57" s="9">
        <f>AZ57/'nano-Axi'!X76</f>
        <v>0</v>
      </c>
      <c r="BB57" s="83"/>
      <c r="BC57" s="89"/>
      <c r="BE57" s="51">
        <v>0.7</v>
      </c>
      <c r="BF57">
        <f t="shared" si="20"/>
        <v>0.30000000000000004</v>
      </c>
      <c r="BI57" s="8"/>
      <c r="BJ57" s="83">
        <f>(BG57-$K47)/$K47</f>
        <v>-1</v>
      </c>
      <c r="BK57" s="85">
        <f>(BH57-$L47)/$L47</f>
        <v>-1</v>
      </c>
      <c r="BT57" t="s">
        <v>370</v>
      </c>
      <c r="BV57">
        <v>2</v>
      </c>
      <c r="BW57">
        <v>0.36</v>
      </c>
      <c r="BX57">
        <v>1.1000000000000001</v>
      </c>
      <c r="BY57" s="3">
        <v>20</v>
      </c>
      <c r="BZ57">
        <f t="shared" si="6"/>
        <v>0.64</v>
      </c>
      <c r="CA57" s="21">
        <v>2.4399999999999999E-3</v>
      </c>
      <c r="CB57">
        <v>101325</v>
      </c>
      <c r="CC57">
        <f t="shared" si="13"/>
        <v>2844</v>
      </c>
      <c r="CD57" s="97">
        <f>CD56</f>
        <v>97</v>
      </c>
      <c r="CE57" s="100">
        <f t="shared" si="15"/>
        <v>9.7900000000000003E-9</v>
      </c>
      <c r="CF57" s="25">
        <f t="shared" si="7"/>
        <v>1.1181359053363019E-5</v>
      </c>
      <c r="CG57" s="28">
        <f t="shared" si="8"/>
        <v>1788691.3303248766</v>
      </c>
      <c r="CH57" s="28">
        <f t="shared" si="9"/>
        <v>5.0407766224177548E-3</v>
      </c>
      <c r="CI57" s="102">
        <f t="shared" si="10"/>
        <v>1.0020737971928963E-8</v>
      </c>
      <c r="CJ57" s="105">
        <f t="shared" si="11"/>
        <v>4.7714129266338675E-8</v>
      </c>
    </row>
    <row r="58" spans="1:89" x14ac:dyDescent="0.25">
      <c r="B58">
        <v>2</v>
      </c>
      <c r="C58">
        <v>0.5</v>
      </c>
      <c r="D58">
        <v>1.8</v>
      </c>
      <c r="E58">
        <v>7</v>
      </c>
      <c r="F58" t="s">
        <v>370</v>
      </c>
      <c r="H58" t="s">
        <v>637</v>
      </c>
      <c r="I58" t="s">
        <v>638</v>
      </c>
      <c r="M58" s="8"/>
      <c r="P58" s="78"/>
      <c r="Q58" s="76">
        <f>'nano-Axi'!M26</f>
        <v>0.9</v>
      </c>
      <c r="R58">
        <f t="shared" si="19"/>
        <v>9.9999999999999978E-2</v>
      </c>
      <c r="S58" s="77">
        <f>'nano-Axi'!S26</f>
        <v>6.3862000000000002E-2</v>
      </c>
      <c r="T58" s="77">
        <f>'nano-Axi'!T26</f>
        <v>15.24</v>
      </c>
      <c r="U58" s="9">
        <f>T58/'nano-Axi'!X26</f>
        <v>891.30136798530555</v>
      </c>
      <c r="V58" s="2">
        <f>'nano-Axi'!$X26*101325*0.006/'nano-Axi'!$E26/2844</f>
        <v>5.6232230175876344E-5</v>
      </c>
      <c r="W58" s="2">
        <f>0.006/'nano-Axi'!$X26*'nano-Axi'!$O26</f>
        <v>1715930.586396907</v>
      </c>
      <c r="X58" s="78"/>
      <c r="Y58" s="51">
        <v>0.9</v>
      </c>
      <c r="Z58">
        <f t="shared" si="16"/>
        <v>9.9999999999999978E-2</v>
      </c>
      <c r="AA58">
        <f>'nano-Axi'!S39</f>
        <v>4.5100000000000001E-3</v>
      </c>
      <c r="AB58">
        <f>'nano-Axi'!T39</f>
        <v>2</v>
      </c>
      <c r="AC58" s="98">
        <f>AB58/'nano-Axi'!X39</f>
        <v>731.05427164149069</v>
      </c>
      <c r="AD58" s="2">
        <f>'nano-Axi'!$X39*101325*0.006/'nano-Axi'!$E39/2844</f>
        <v>5.8481519382911425E-4</v>
      </c>
      <c r="AE58" s="2">
        <f>0.006/'nano-Axi'!$X39*'nano-Axi'!$O39</f>
        <v>10724566.164980669</v>
      </c>
      <c r="AG58" s="51">
        <v>0.9</v>
      </c>
      <c r="AH58">
        <f t="shared" si="1"/>
        <v>9.9999999999999978E-2</v>
      </c>
      <c r="AK58" s="8"/>
      <c r="AL58" s="83">
        <f>(AI58-$K48)/$K48</f>
        <v>-1</v>
      </c>
      <c r="AM58" s="85">
        <f>(AJ58-$L48)/$L48</f>
        <v>-1</v>
      </c>
      <c r="AN58" s="8"/>
      <c r="AO58" s="51"/>
      <c r="AS58" s="8"/>
      <c r="AT58" s="83"/>
      <c r="AU58" s="89"/>
      <c r="AV58" s="8"/>
      <c r="AW58" s="51">
        <v>0.9</v>
      </c>
      <c r="AX58">
        <f t="shared" si="3"/>
        <v>9.9999999999999978E-2</v>
      </c>
      <c r="AY58" s="8">
        <f>'nano-Axi'!S78</f>
        <v>0</v>
      </c>
      <c r="AZ58" s="8">
        <f>'nano-Axi'!T78</f>
        <v>0</v>
      </c>
      <c r="BA58" s="9">
        <f>AZ58/'nano-Axi'!X77</f>
        <v>0</v>
      </c>
      <c r="BB58" s="83"/>
      <c r="BC58" s="89"/>
      <c r="BE58" s="51">
        <v>0.9</v>
      </c>
      <c r="BF58">
        <f t="shared" si="20"/>
        <v>9.9999999999999978E-2</v>
      </c>
      <c r="BI58" s="8"/>
      <c r="BJ58" s="83">
        <f>(BG58-$K48)/$K48</f>
        <v>-1</v>
      </c>
      <c r="BK58" s="85">
        <f>(BH58-$L48)/$L48</f>
        <v>-1</v>
      </c>
      <c r="BT58" t="s">
        <v>370</v>
      </c>
      <c r="BV58">
        <v>2</v>
      </c>
      <c r="BW58">
        <v>0.5</v>
      </c>
      <c r="BX58">
        <v>1.8</v>
      </c>
      <c r="BY58" s="3">
        <v>7</v>
      </c>
      <c r="BZ58">
        <f t="shared" si="6"/>
        <v>0.5</v>
      </c>
      <c r="CA58" s="21">
        <v>2.4399999999999999E-3</v>
      </c>
      <c r="CB58">
        <v>101325</v>
      </c>
      <c r="CC58">
        <f t="shared" si="13"/>
        <v>2844</v>
      </c>
      <c r="CD58" s="97">
        <f t="shared" ref="CD58:CD60" si="21">CD57</f>
        <v>97</v>
      </c>
      <c r="CE58" s="100">
        <f t="shared" si="15"/>
        <v>9.7900000000000003E-9</v>
      </c>
      <c r="CF58" s="25">
        <f t="shared" si="7"/>
        <v>2.763946787482923E-6</v>
      </c>
      <c r="CG58" s="28">
        <f t="shared" si="8"/>
        <v>2532610.262867895</v>
      </c>
      <c r="CH58" s="28">
        <f t="shared" si="9"/>
        <v>2.0389771383070745E-3</v>
      </c>
      <c r="CI58" s="102">
        <f t="shared" si="10"/>
        <v>2.4770500968208185E-9</v>
      </c>
      <c r="CJ58" s="105">
        <f t="shared" si="11"/>
        <v>1.1794569307169896E-8</v>
      </c>
    </row>
    <row r="59" spans="1:89" x14ac:dyDescent="0.25">
      <c r="B59">
        <v>2</v>
      </c>
      <c r="C59">
        <v>0.53</v>
      </c>
      <c r="D59">
        <v>1.8</v>
      </c>
      <c r="E59">
        <v>40</v>
      </c>
      <c r="F59" t="s">
        <v>370</v>
      </c>
      <c r="H59" t="s">
        <v>635</v>
      </c>
      <c r="I59" t="s">
        <v>636</v>
      </c>
      <c r="P59" s="78"/>
      <c r="Q59" s="8"/>
      <c r="R59" s="8"/>
      <c r="S59" s="8"/>
      <c r="T59" s="8"/>
      <c r="U59" s="8"/>
      <c r="V59" s="8"/>
      <c r="W59" s="8"/>
      <c r="X59" s="73">
        <v>8078</v>
      </c>
      <c r="Y59" s="74">
        <v>0.1</v>
      </c>
      <c r="Z59" s="75">
        <f t="shared" si="16"/>
        <v>0.9</v>
      </c>
      <c r="AA59" s="75">
        <f>'nano-Axi'!S40</f>
        <v>0.26504</v>
      </c>
      <c r="AB59" s="75">
        <f>'nano-Axi'!T40</f>
        <v>3.42</v>
      </c>
      <c r="AC59" s="98">
        <f>AB59/'nano-Axi'!X40</f>
        <v>73817320.503330842</v>
      </c>
      <c r="AD59" s="2">
        <f>'nano-Axi'!$X40*101325*0.006/'nano-Axi'!$E40/2844</f>
        <v>9.9038966592002255E-11</v>
      </c>
      <c r="AE59" s="2">
        <f>0.006/'nano-Axi'!$X40*'nano-Axi'!$O40</f>
        <v>633274907475.9436</v>
      </c>
      <c r="AF59" s="8"/>
      <c r="AG59" s="8"/>
      <c r="AH59" s="8"/>
      <c r="AI59" s="8"/>
      <c r="AJ59" s="8"/>
      <c r="AK59" s="8"/>
      <c r="AL59" s="8"/>
      <c r="AM59" s="8"/>
      <c r="AN59" s="8"/>
      <c r="AO59" s="51"/>
      <c r="AS59" s="8"/>
      <c r="AT59" s="83"/>
      <c r="AU59" s="89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T59" t="s">
        <v>370</v>
      </c>
      <c r="BV59">
        <v>2</v>
      </c>
      <c r="BW59">
        <v>0.53</v>
      </c>
      <c r="BX59">
        <v>1.8</v>
      </c>
      <c r="BY59" s="3">
        <v>40</v>
      </c>
      <c r="BZ59">
        <f t="shared" si="6"/>
        <v>0.47</v>
      </c>
      <c r="CA59" s="21">
        <v>2.4399999999999999E-3</v>
      </c>
      <c r="CB59">
        <v>101325</v>
      </c>
      <c r="CC59">
        <f t="shared" si="13"/>
        <v>2844</v>
      </c>
      <c r="CD59" s="97">
        <f t="shared" si="21"/>
        <v>97</v>
      </c>
      <c r="CE59" s="100">
        <f t="shared" si="15"/>
        <v>9.7900000000000003E-9</v>
      </c>
      <c r="CF59" s="25">
        <f t="shared" si="7"/>
        <v>2.0431559082722643E-6</v>
      </c>
      <c r="CG59" s="28">
        <f t="shared" si="8"/>
        <v>19577556.386201013</v>
      </c>
      <c r="CH59" s="28">
        <f t="shared" si="9"/>
        <v>1.507246161840195E-3</v>
      </c>
      <c r="CI59" s="102">
        <f t="shared" si="10"/>
        <v>1.8310770537716468E-9</v>
      </c>
      <c r="CJ59" s="105">
        <f t="shared" si="11"/>
        <v>8.7187438175742259E-9</v>
      </c>
    </row>
    <row r="60" spans="1:89" x14ac:dyDescent="0.25">
      <c r="B60">
        <v>2</v>
      </c>
      <c r="C60">
        <v>0.59</v>
      </c>
      <c r="D60">
        <v>1.1000000000000001</v>
      </c>
      <c r="E60">
        <v>30</v>
      </c>
      <c r="F60" t="s">
        <v>370</v>
      </c>
      <c r="H60" t="s">
        <v>641</v>
      </c>
      <c r="I60" t="s">
        <v>642</v>
      </c>
      <c r="P60" s="8"/>
      <c r="Q60" s="8"/>
      <c r="R60" s="8"/>
      <c r="S60" s="8"/>
      <c r="T60" s="8"/>
      <c r="U60" s="8"/>
      <c r="V60" s="8"/>
      <c r="W60" s="8"/>
      <c r="X60" s="78" t="s">
        <v>548</v>
      </c>
      <c r="Y60" s="51">
        <v>0.3</v>
      </c>
      <c r="Z60">
        <f t="shared" si="16"/>
        <v>0.7</v>
      </c>
      <c r="AA60" s="8">
        <f>'nano-Axi'!S41</f>
        <v>0.29774</v>
      </c>
      <c r="AB60" s="8">
        <f>'nano-Axi'!T41</f>
        <v>4.47</v>
      </c>
      <c r="AC60" s="98">
        <f>AB60/'nano-Axi'!X41</f>
        <v>2161658.0310880831</v>
      </c>
      <c r="AD60" s="2">
        <f>'nano-Axi'!$X41*101325*0.006/'nano-Axi'!$E41/2844</f>
        <v>4.4203718354430376E-9</v>
      </c>
      <c r="AE60" s="2">
        <f>0.006/'nano-Axi'!$X41*'nano-Axi'!$O41</f>
        <v>14188601036.269432</v>
      </c>
      <c r="AF60" s="8"/>
      <c r="AG60" s="8"/>
      <c r="AH60" s="8"/>
      <c r="AI60" s="8"/>
      <c r="AJ60" s="8"/>
      <c r="AK60" s="8"/>
      <c r="AL60" s="8"/>
      <c r="AM60" s="8"/>
      <c r="AN60" s="8"/>
      <c r="AO60" s="51"/>
      <c r="AS60" s="8"/>
      <c r="AT60" s="83"/>
      <c r="AU60" s="91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T60" t="s">
        <v>370</v>
      </c>
      <c r="BV60">
        <v>2</v>
      </c>
      <c r="BW60">
        <v>0.59</v>
      </c>
      <c r="BX60">
        <v>1.1000000000000001</v>
      </c>
      <c r="BY60" s="3">
        <v>30</v>
      </c>
      <c r="BZ60">
        <f t="shared" si="6"/>
        <v>0.41000000000000003</v>
      </c>
      <c r="CA60" s="21">
        <v>2.4399999999999999E-3</v>
      </c>
      <c r="CB60">
        <v>101325</v>
      </c>
      <c r="CC60">
        <f t="shared" si="13"/>
        <v>2844</v>
      </c>
      <c r="CD60" s="97">
        <f t="shared" si="21"/>
        <v>97</v>
      </c>
      <c r="CE60" s="100">
        <f t="shared" si="15"/>
        <v>9.7900000000000003E-9</v>
      </c>
      <c r="CF60" s="25">
        <f t="shared" si="7"/>
        <v>1.0944784633157749E-6</v>
      </c>
      <c r="CG60" s="28">
        <f t="shared" si="8"/>
        <v>27410315.511475269</v>
      </c>
      <c r="CH60" s="28">
        <f t="shared" si="9"/>
        <v>4.9341242198661984E-4</v>
      </c>
      <c r="CI60" s="102">
        <f t="shared" si="10"/>
        <v>9.8087198921567181E-10</v>
      </c>
      <c r="CJ60" s="105">
        <f t="shared" si="11"/>
        <v>4.6704597024961605E-9</v>
      </c>
    </row>
    <row r="61" spans="1:89" x14ac:dyDescent="0.25">
      <c r="A61">
        <v>800</v>
      </c>
      <c r="B61">
        <v>1.1000000000000001</v>
      </c>
      <c r="C61">
        <v>6.6000000000000003E-2</v>
      </c>
      <c r="F61" t="s">
        <v>373</v>
      </c>
      <c r="G61" t="s">
        <v>395</v>
      </c>
      <c r="H61" t="s">
        <v>168</v>
      </c>
      <c r="I61" t="s">
        <v>643</v>
      </c>
      <c r="P61" s="8"/>
      <c r="Q61" s="8"/>
      <c r="R61" s="8"/>
      <c r="S61" s="8"/>
      <c r="T61" s="8"/>
      <c r="U61" s="8"/>
      <c r="V61" s="8"/>
      <c r="W61" s="8"/>
      <c r="X61" s="78"/>
      <c r="Y61" s="51">
        <v>0.5</v>
      </c>
      <c r="Z61">
        <f t="shared" si="16"/>
        <v>0.5</v>
      </c>
      <c r="AA61" s="8">
        <f>'nano-Axi'!S42</f>
        <v>0.23356299999999999</v>
      </c>
      <c r="AB61" s="8">
        <f>'nano-Axi'!T42</f>
        <v>5.87</v>
      </c>
      <c r="AC61" s="98">
        <f>AB61/'nano-Axi'!X42</f>
        <v>312834.93708364182</v>
      </c>
      <c r="AD61" s="2">
        <f>'nano-Axi'!$X42*101325*0.006/'nano-Axi'!$E42/2844</f>
        <v>4.0110781469760893E-8</v>
      </c>
      <c r="AE61" s="2">
        <f>0.006/'nano-Axi'!$X42*'nano-Axi'!$O42</f>
        <v>1563641746.8541825</v>
      </c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T61" t="s">
        <v>373</v>
      </c>
      <c r="BV61">
        <v>1.1000000000000001</v>
      </c>
      <c r="BW61">
        <v>6.6000000000000003E-2</v>
      </c>
      <c r="BY61" s="3">
        <v>800</v>
      </c>
      <c r="BZ61">
        <f t="shared" si="6"/>
        <v>0.93399999999999994</v>
      </c>
      <c r="CA61" s="2">
        <v>8.8999999999999999E-3</v>
      </c>
      <c r="CB61" s="2">
        <v>1000000</v>
      </c>
      <c r="CC61">
        <f t="shared" si="13"/>
        <v>2844</v>
      </c>
      <c r="CD61" s="97">
        <v>74</v>
      </c>
      <c r="CE61" s="101">
        <v>3.8000000000000003E-8</v>
      </c>
      <c r="CF61" s="25">
        <f t="shared" si="7"/>
        <v>4.2149987266834665E-2</v>
      </c>
      <c r="CG61" s="102">
        <f>BY61/CF61</f>
        <v>18979.839660105252</v>
      </c>
      <c r="CH61" s="28">
        <f t="shared" si="9"/>
        <v>0</v>
      </c>
      <c r="CI61" s="102">
        <f t="shared" si="10"/>
        <v>1.7824860620501602E-3</v>
      </c>
      <c r="CJ61" s="105">
        <f t="shared" si="11"/>
        <v>8.4873759416080712E-3</v>
      </c>
      <c r="CK61" t="s">
        <v>667</v>
      </c>
    </row>
    <row r="62" spans="1:89" x14ac:dyDescent="0.25">
      <c r="A62">
        <v>900</v>
      </c>
      <c r="B62">
        <v>1.1000000000000001</v>
      </c>
      <c r="C62">
        <v>6.6000000000000003E-2</v>
      </c>
      <c r="F62" t="s">
        <v>373</v>
      </c>
      <c r="G62" t="s">
        <v>395</v>
      </c>
      <c r="H62" t="s">
        <v>584</v>
      </c>
      <c r="I62" t="s">
        <v>640</v>
      </c>
      <c r="P62" s="8"/>
      <c r="Q62" s="8"/>
      <c r="R62" s="8"/>
      <c r="S62" s="8"/>
      <c r="T62" s="8"/>
      <c r="U62" s="8"/>
      <c r="V62" s="8"/>
      <c r="W62" s="8"/>
      <c r="X62" s="78"/>
      <c r="Y62" s="51">
        <v>0.7</v>
      </c>
      <c r="Z62">
        <f t="shared" si="16"/>
        <v>0.30000000000000004</v>
      </c>
      <c r="AA62" s="8">
        <f>'nano-Axi'!S43</f>
        <v>0.166348</v>
      </c>
      <c r="AB62" s="8">
        <f>'nano-Axi'!T43</f>
        <v>8.2899999999999991</v>
      </c>
      <c r="AC62" s="98">
        <f>AB62/'nano-Axi'!X43</f>
        <v>57962.895425697003</v>
      </c>
      <c r="AD62" s="2">
        <f>'nano-Axi'!$X43*101325*0.006/'nano-Axi'!$E43/2844</f>
        <v>3.0573328986951076E-7</v>
      </c>
      <c r="AE62" s="2">
        <f>0.006/'nano-Axi'!$X43*'nano-Axi'!$O43</f>
        <v>205142503.23159835</v>
      </c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T62" t="s">
        <v>373</v>
      </c>
      <c r="BV62">
        <v>1.1000000000000001</v>
      </c>
      <c r="BW62">
        <v>6.6000000000000003E-2</v>
      </c>
      <c r="BY62" s="3">
        <v>900</v>
      </c>
      <c r="BZ62">
        <f t="shared" si="6"/>
        <v>0.93399999999999994</v>
      </c>
      <c r="CA62" s="2">
        <v>8.8999999999999999E-3</v>
      </c>
      <c r="CB62" s="2">
        <v>1500000</v>
      </c>
      <c r="CC62">
        <f t="shared" si="13"/>
        <v>2844</v>
      </c>
      <c r="CD62" s="97">
        <f>CD61</f>
        <v>74</v>
      </c>
      <c r="CE62" s="101">
        <f>CE61</f>
        <v>3.8000000000000003E-8</v>
      </c>
      <c r="CF62" s="25">
        <f t="shared" si="7"/>
        <v>6.3224980900251984E-2</v>
      </c>
      <c r="CG62" s="102">
        <f t="shared" ref="CG62:CG69" si="22">BY62/CF62</f>
        <v>14234.879745078943</v>
      </c>
      <c r="CH62" s="28">
        <f t="shared" si="9"/>
        <v>0</v>
      </c>
      <c r="CI62" s="102">
        <f t="shared" si="10"/>
        <v>4.0105936396128599E-3</v>
      </c>
      <c r="CJ62" s="105">
        <f t="shared" si="11"/>
        <v>1.9096595868618151E-2</v>
      </c>
      <c r="CK62" t="s">
        <v>395</v>
      </c>
    </row>
    <row r="63" spans="1:89" x14ac:dyDescent="0.25">
      <c r="A63">
        <v>700</v>
      </c>
      <c r="B63">
        <v>1.1000000000000001</v>
      </c>
      <c r="C63">
        <v>6.6000000000000003E-2</v>
      </c>
      <c r="F63" t="s">
        <v>373</v>
      </c>
      <c r="G63" t="s">
        <v>395</v>
      </c>
      <c r="H63" t="s">
        <v>585</v>
      </c>
      <c r="I63" t="s">
        <v>644</v>
      </c>
      <c r="K63" t="s">
        <v>645</v>
      </c>
      <c r="L63" t="s">
        <v>646</v>
      </c>
      <c r="P63" s="8"/>
      <c r="Q63" s="8"/>
      <c r="R63" s="8"/>
      <c r="S63" s="8"/>
      <c r="T63" s="8"/>
      <c r="U63" s="8"/>
      <c r="V63" s="8"/>
      <c r="W63" s="8"/>
      <c r="X63" s="87"/>
      <c r="Y63" s="88">
        <v>0.9</v>
      </c>
      <c r="Z63" s="82">
        <f t="shared" si="16"/>
        <v>9.9999999999999978E-2</v>
      </c>
      <c r="AA63" s="82">
        <f>'nano-Axi'!S44</f>
        <v>0.14632500000000001</v>
      </c>
      <c r="AB63" s="82">
        <f>'nano-Axi'!T44</f>
        <v>15.16</v>
      </c>
      <c r="AC63" s="98">
        <f>AB63/'nano-Axi'!X44</f>
        <v>5541.3913790424995</v>
      </c>
      <c r="AD63" s="2">
        <f>'nano-Axi'!$X44*101325*0.006/'nano-Axi'!$E44/2844</f>
        <v>5.8481519382911431E-6</v>
      </c>
      <c r="AE63" s="2">
        <f>0.006/'nano-Axi'!$X44*'nano-Axi'!$O44</f>
        <v>10724566.164980669</v>
      </c>
      <c r="AF63" s="7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T63" t="s">
        <v>373</v>
      </c>
      <c r="BV63">
        <v>1.1000000000000001</v>
      </c>
      <c r="BW63">
        <v>6.6000000000000003E-2</v>
      </c>
      <c r="BY63" s="3">
        <v>700</v>
      </c>
      <c r="BZ63">
        <f t="shared" si="6"/>
        <v>0.93399999999999994</v>
      </c>
      <c r="CA63" s="2">
        <v>8.8999999999999999E-3</v>
      </c>
      <c r="CB63" s="2">
        <v>2000000</v>
      </c>
      <c r="CC63">
        <f t="shared" si="13"/>
        <v>2844</v>
      </c>
      <c r="CD63" s="97">
        <f t="shared" ref="CD63:CD69" si="23">CD62</f>
        <v>74</v>
      </c>
      <c r="CE63" s="101">
        <f t="shared" ref="CE63:CE69" si="24">CE62</f>
        <v>3.8000000000000003E-8</v>
      </c>
      <c r="CF63" s="25">
        <f t="shared" si="7"/>
        <v>8.4299974533669331E-2</v>
      </c>
      <c r="CG63" s="102">
        <f t="shared" si="22"/>
        <v>8303.6798512960486</v>
      </c>
      <c r="CH63" s="28">
        <f t="shared" si="9"/>
        <v>0</v>
      </c>
      <c r="CI63" s="102">
        <f t="shared" si="10"/>
        <v>7.1299442482006406E-3</v>
      </c>
      <c r="CJ63" s="105">
        <f t="shared" si="11"/>
        <v>3.3949503766432285E-2</v>
      </c>
      <c r="CK63" t="s">
        <v>395</v>
      </c>
    </row>
    <row r="64" spans="1:89" x14ac:dyDescent="0.25">
      <c r="A64">
        <v>300</v>
      </c>
      <c r="B64">
        <v>1.1000000000000001</v>
      </c>
      <c r="C64">
        <v>6.6000000000000003E-2</v>
      </c>
      <c r="F64" t="s">
        <v>373</v>
      </c>
      <c r="G64" t="s">
        <v>395</v>
      </c>
      <c r="K64" t="s">
        <v>647</v>
      </c>
      <c r="L64" t="s">
        <v>648</v>
      </c>
      <c r="P64" s="8"/>
      <c r="Q64" s="8"/>
      <c r="R64" s="8"/>
      <c r="S64" s="8"/>
      <c r="T64" s="8"/>
      <c r="U64" s="8"/>
      <c r="V64" s="8"/>
      <c r="W64" s="8"/>
      <c r="X64" s="78">
        <v>525</v>
      </c>
      <c r="Y64" s="76">
        <v>0.1</v>
      </c>
      <c r="Z64" s="8">
        <f t="shared" si="16"/>
        <v>0.9</v>
      </c>
      <c r="AA64" s="8">
        <f>'nano-Axi'!S81</f>
        <v>0.18476000000000001</v>
      </c>
      <c r="AB64" s="8">
        <f>'nano-Axi'!T81</f>
        <v>2.65</v>
      </c>
      <c r="AC64" s="9">
        <f>AB64/'nano-Axi'!X81</f>
        <v>571976313.84159851</v>
      </c>
      <c r="AD64" s="2">
        <f>'nano-Axi'!$X81*101325*0.006/'nano-Axi'!$E81/2844</f>
        <v>1.5236764091077274E-11</v>
      </c>
      <c r="AE64" s="2">
        <f>0.006/'nano-Axi'!$X81*'nano-Axi'!$O81</f>
        <v>6332749074759.4336</v>
      </c>
      <c r="AF64" s="7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T64" t="s">
        <v>373</v>
      </c>
      <c r="BV64">
        <v>1.1000000000000001</v>
      </c>
      <c r="BW64">
        <v>6.6000000000000003E-2</v>
      </c>
      <c r="BY64" s="3">
        <v>300</v>
      </c>
      <c r="BZ64">
        <f t="shared" si="6"/>
        <v>0.93399999999999994</v>
      </c>
      <c r="CA64" s="2">
        <v>8.8999999999999999E-3</v>
      </c>
      <c r="CB64" s="2">
        <v>3000000</v>
      </c>
      <c r="CC64">
        <f t="shared" si="13"/>
        <v>2844</v>
      </c>
      <c r="CD64" s="97">
        <f t="shared" si="23"/>
        <v>74</v>
      </c>
      <c r="CE64" s="101">
        <f t="shared" si="24"/>
        <v>3.8000000000000003E-8</v>
      </c>
      <c r="CF64" s="25">
        <f t="shared" si="7"/>
        <v>0.12644996180050397</v>
      </c>
      <c r="CG64" s="102">
        <f t="shared" si="22"/>
        <v>2372.4799575131569</v>
      </c>
      <c r="CH64" s="28">
        <f t="shared" si="9"/>
        <v>0</v>
      </c>
      <c r="CI64" s="102">
        <f t="shared" si="10"/>
        <v>1.6042374558451439E-2</v>
      </c>
      <c r="CJ64" s="105">
        <f t="shared" si="11"/>
        <v>7.6386383474472602E-2</v>
      </c>
      <c r="CK64" t="s">
        <v>395</v>
      </c>
    </row>
    <row r="65" spans="1:89" x14ac:dyDescent="0.25">
      <c r="A65">
        <v>40</v>
      </c>
      <c r="B65">
        <v>1.1000000000000001</v>
      </c>
      <c r="C65">
        <v>6.6000000000000003E-2</v>
      </c>
      <c r="F65" t="s">
        <v>373</v>
      </c>
      <c r="G65" t="s">
        <v>395</v>
      </c>
      <c r="P65" s="8"/>
      <c r="Q65" s="8"/>
      <c r="R65" s="8"/>
      <c r="S65" s="8"/>
      <c r="T65" s="8"/>
      <c r="U65" s="8"/>
      <c r="V65" s="8"/>
      <c r="W65" s="8"/>
      <c r="X65" s="78" t="s">
        <v>539</v>
      </c>
      <c r="Y65" s="76">
        <v>0.3</v>
      </c>
      <c r="Z65" s="8">
        <f t="shared" si="16"/>
        <v>0.7</v>
      </c>
      <c r="AA65" s="8">
        <f>'nano-Axi'!S82</f>
        <v>0.20646999999999999</v>
      </c>
      <c r="AB65" s="8">
        <f>'nano-Axi'!T82</f>
        <v>3.15</v>
      </c>
      <c r="AC65" s="9">
        <f>AB65/'nano-Axi'!X82</f>
        <v>15233160.621761657</v>
      </c>
      <c r="AD65" s="2">
        <f>'nano-Axi'!$X82*101325*0.006/'nano-Axi'!$E82/2844</f>
        <v>6.8005720545277518E-10</v>
      </c>
      <c r="AE65" s="2">
        <f>0.006/'nano-Axi'!$X82*'nano-Axi'!$O82</f>
        <v>141886010362.69431</v>
      </c>
      <c r="AF65" s="7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T65" t="s">
        <v>373</v>
      </c>
      <c r="BV65">
        <v>1.1000000000000001</v>
      </c>
      <c r="BW65">
        <v>6.6000000000000003E-2</v>
      </c>
      <c r="BY65" s="3">
        <v>40</v>
      </c>
      <c r="BZ65">
        <f t="shared" si="6"/>
        <v>0.93399999999999994</v>
      </c>
      <c r="CA65" s="2">
        <v>8.8999999999999999E-3</v>
      </c>
      <c r="CB65" s="2">
        <v>4500000</v>
      </c>
      <c r="CC65">
        <f t="shared" si="13"/>
        <v>2844</v>
      </c>
      <c r="CD65" s="97">
        <f t="shared" si="23"/>
        <v>74</v>
      </c>
      <c r="CE65" s="101">
        <f t="shared" si="24"/>
        <v>3.8000000000000003E-8</v>
      </c>
      <c r="CF65" s="25">
        <f t="shared" si="7"/>
        <v>0.18967494270075597</v>
      </c>
      <c r="CG65" s="102">
        <f t="shared" si="22"/>
        <v>210.88710733450284</v>
      </c>
      <c r="CH65" s="28">
        <f t="shared" si="9"/>
        <v>0</v>
      </c>
      <c r="CI65" s="102">
        <f t="shared" si="10"/>
        <v>3.6095342756515741E-2</v>
      </c>
      <c r="CJ65" s="105">
        <f t="shared" si="11"/>
        <v>0.1718693628175634</v>
      </c>
      <c r="CK65" t="s">
        <v>395</v>
      </c>
    </row>
    <row r="66" spans="1:89" x14ac:dyDescent="0.25">
      <c r="A66">
        <v>30</v>
      </c>
      <c r="B66">
        <v>1.1000000000000001</v>
      </c>
      <c r="C66">
        <v>6.6000000000000003E-2</v>
      </c>
      <c r="F66" t="s">
        <v>373</v>
      </c>
      <c r="G66" t="s">
        <v>395</v>
      </c>
      <c r="P66" s="8"/>
      <c r="Q66" s="8"/>
      <c r="R66" s="8"/>
      <c r="S66" s="8"/>
      <c r="T66" s="8"/>
      <c r="U66" s="8"/>
      <c r="V66" s="8"/>
      <c r="W66" s="8"/>
      <c r="X66" s="78"/>
      <c r="Y66" s="76">
        <v>0.5</v>
      </c>
      <c r="Z66" s="8">
        <f t="shared" si="16"/>
        <v>0.5</v>
      </c>
      <c r="AA66" s="8">
        <f>'nano-Axi'!S83</f>
        <v>0.18787999999999999</v>
      </c>
      <c r="AB66" s="8">
        <f>'nano-Axi'!T83</f>
        <v>4</v>
      </c>
      <c r="AC66" s="9">
        <f>AB66/'nano-Axi'!X83</f>
        <v>2131754.2561065881</v>
      </c>
      <c r="AD66" s="2">
        <f>'nano-Axi'!$X83*101325*0.006/'nano-Axi'!$E83/2844</f>
        <v>6.1708894568862925E-9</v>
      </c>
      <c r="AE66" s="2">
        <f>0.006/'nano-Axi'!$X83*'nano-Axi'!$O83</f>
        <v>15636417468.541821</v>
      </c>
      <c r="AF66" s="7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T66" t="s">
        <v>373</v>
      </c>
      <c r="BV66">
        <v>1.1000000000000001</v>
      </c>
      <c r="BW66">
        <v>6.6000000000000003E-2</v>
      </c>
      <c r="BY66" s="3">
        <v>30</v>
      </c>
      <c r="BZ66">
        <f t="shared" si="6"/>
        <v>0.93399999999999994</v>
      </c>
      <c r="CA66" s="2">
        <v>8.8999999999999999E-3</v>
      </c>
      <c r="CB66" s="2">
        <v>5000000</v>
      </c>
      <c r="CC66">
        <f t="shared" si="13"/>
        <v>2844</v>
      </c>
      <c r="CD66" s="97">
        <f t="shared" si="23"/>
        <v>74</v>
      </c>
      <c r="CE66" s="101">
        <f t="shared" si="24"/>
        <v>3.8000000000000003E-8</v>
      </c>
      <c r="CF66" s="25">
        <f t="shared" si="7"/>
        <v>0.21074993633417333</v>
      </c>
      <c r="CG66" s="102">
        <f t="shared" si="22"/>
        <v>142.34879745078939</v>
      </c>
      <c r="CH66" s="28">
        <f t="shared" si="9"/>
        <v>0</v>
      </c>
      <c r="CI66" s="102">
        <f t="shared" si="10"/>
        <v>4.4562151551254002E-2</v>
      </c>
      <c r="CJ66" s="105">
        <f t="shared" si="11"/>
        <v>0.2121843985402018</v>
      </c>
      <c r="CK66" t="s">
        <v>395</v>
      </c>
    </row>
    <row r="67" spans="1:89" x14ac:dyDescent="0.25">
      <c r="A67">
        <v>15</v>
      </c>
      <c r="B67">
        <v>1.1000000000000001</v>
      </c>
      <c r="C67">
        <v>6.6000000000000003E-2</v>
      </c>
      <c r="F67" t="s">
        <v>373</v>
      </c>
      <c r="G67" t="s">
        <v>395</v>
      </c>
      <c r="P67" s="8"/>
      <c r="Q67" s="8"/>
      <c r="R67" s="8"/>
      <c r="S67" s="8"/>
      <c r="T67" s="8"/>
      <c r="U67" s="8"/>
      <c r="V67" s="8"/>
      <c r="W67" s="8"/>
      <c r="X67" s="78"/>
      <c r="Y67" s="76">
        <v>0.7</v>
      </c>
      <c r="Z67" s="8">
        <f t="shared" si="16"/>
        <v>0.30000000000000004</v>
      </c>
      <c r="AA67" s="8">
        <f>'nano-Axi'!S84</f>
        <v>0.13026399999999999</v>
      </c>
      <c r="AB67" s="8">
        <f>'nano-Axi'!T84</f>
        <v>5.43</v>
      </c>
      <c r="AC67" s="9">
        <f>AB67/'nano-Axi'!X84</f>
        <v>379660.46099099488</v>
      </c>
      <c r="AD67" s="2">
        <f>'nano-Axi'!$X84*101325*0.006/'nano-Axi'!$E84/2844</f>
        <v>4.7035890749155488E-8</v>
      </c>
      <c r="AE67" s="2">
        <f>0.006/'nano-Axi'!$X84*'nano-Axi'!$O84</f>
        <v>2051425032.3159833</v>
      </c>
      <c r="AF67" s="7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T67" t="s">
        <v>373</v>
      </c>
      <c r="BV67">
        <v>1.1000000000000001</v>
      </c>
      <c r="BW67">
        <v>6.6000000000000003E-2</v>
      </c>
      <c r="BY67" s="3">
        <v>15</v>
      </c>
      <c r="BZ67">
        <f t="shared" si="6"/>
        <v>0.93399999999999994</v>
      </c>
      <c r="CA67" s="2">
        <v>8.8999999999999999E-3</v>
      </c>
      <c r="CB67" s="2">
        <v>9000000</v>
      </c>
      <c r="CC67">
        <f t="shared" si="13"/>
        <v>2844</v>
      </c>
      <c r="CD67" s="97">
        <f t="shared" si="23"/>
        <v>74</v>
      </c>
      <c r="CE67" s="101">
        <f t="shared" si="24"/>
        <v>3.8000000000000003E-8</v>
      </c>
      <c r="CF67" s="25">
        <f t="shared" si="7"/>
        <v>0.37934988540151193</v>
      </c>
      <c r="CG67" s="102">
        <f t="shared" si="22"/>
        <v>39.541332625219283</v>
      </c>
      <c r="CH67" s="28">
        <f t="shared" si="9"/>
        <v>0</v>
      </c>
      <c r="CI67" s="102">
        <f t="shared" si="10"/>
        <v>0.14438137102606297</v>
      </c>
      <c r="CJ67" s="105">
        <f t="shared" si="11"/>
        <v>0.68747745127025361</v>
      </c>
      <c r="CK67" t="s">
        <v>395</v>
      </c>
    </row>
    <row r="68" spans="1:89" x14ac:dyDescent="0.25">
      <c r="A68">
        <v>2</v>
      </c>
      <c r="B68">
        <v>1.1000000000000001</v>
      </c>
      <c r="C68">
        <v>6.6000000000000003E-2</v>
      </c>
      <c r="F68" t="s">
        <v>373</v>
      </c>
      <c r="G68" t="s">
        <v>395</v>
      </c>
      <c r="P68" s="8"/>
      <c r="Q68" s="8"/>
      <c r="R68" s="8"/>
      <c r="S68" s="8"/>
      <c r="T68" s="8"/>
      <c r="U68" s="8"/>
      <c r="V68" s="8"/>
      <c r="W68" s="8"/>
      <c r="X68" s="87"/>
      <c r="Y68" s="88">
        <v>0.9</v>
      </c>
      <c r="Z68" s="82">
        <f t="shared" si="16"/>
        <v>9.9999999999999978E-2</v>
      </c>
      <c r="AA68" s="82">
        <f>'nano-Axi'!S85</f>
        <v>6.2459000000000001E-2</v>
      </c>
      <c r="AB68" s="82">
        <f>'nano-Axi'!T85</f>
        <v>9.69</v>
      </c>
      <c r="AC68" s="9">
        <f>AB68/'nano-Axi'!X85</f>
        <v>35419.579461030211</v>
      </c>
      <c r="AD68" s="2">
        <f>'nano-Axi'!$X85*101325*0.006/'nano-Axi'!$E85/2844</f>
        <v>8.9971568281402203E-7</v>
      </c>
      <c r="AE68" s="2">
        <f>0.006/'nano-Axi'!$X85*'nano-Axi'!$O85</f>
        <v>107245661.64980666</v>
      </c>
      <c r="AF68" s="7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T68" t="s">
        <v>373</v>
      </c>
      <c r="BV68">
        <v>1.1000000000000001</v>
      </c>
      <c r="BW68">
        <v>6.6000000000000003E-2</v>
      </c>
      <c r="BY68" s="3">
        <v>2</v>
      </c>
      <c r="BZ68">
        <f t="shared" si="6"/>
        <v>0.93399999999999994</v>
      </c>
      <c r="CA68" s="2">
        <v>8.8999999999999999E-3</v>
      </c>
      <c r="CB68" s="2">
        <v>10000000</v>
      </c>
      <c r="CC68">
        <f t="shared" si="13"/>
        <v>2844</v>
      </c>
      <c r="CD68" s="97">
        <f t="shared" si="23"/>
        <v>74</v>
      </c>
      <c r="CE68" s="101">
        <f t="shared" si="24"/>
        <v>3.8000000000000003E-8</v>
      </c>
      <c r="CF68" s="25">
        <f t="shared" si="7"/>
        <v>0.42149987266834665</v>
      </c>
      <c r="CG68" s="102">
        <f t="shared" si="22"/>
        <v>4.7449599150263131</v>
      </c>
      <c r="CH68" s="28">
        <f t="shared" si="9"/>
        <v>0</v>
      </c>
      <c r="CI68" s="102">
        <f t="shared" si="10"/>
        <v>0.17824860620501601</v>
      </c>
      <c r="CJ68" s="105">
        <f t="shared" si="11"/>
        <v>0.84873759416080718</v>
      </c>
      <c r="CK68" t="s">
        <v>395</v>
      </c>
    </row>
    <row r="69" spans="1:89" x14ac:dyDescent="0.25">
      <c r="A69">
        <v>1.5</v>
      </c>
      <c r="B69">
        <v>1.1000000000000001</v>
      </c>
      <c r="C69">
        <v>6.6000000000000003E-2</v>
      </c>
      <c r="F69" t="s">
        <v>373</v>
      </c>
      <c r="G69" t="s">
        <v>395</v>
      </c>
      <c r="P69" s="8"/>
      <c r="Q69" s="8"/>
      <c r="R69" s="8"/>
      <c r="S69" s="8"/>
      <c r="T69" s="8"/>
      <c r="U69" s="8"/>
      <c r="V69" s="8"/>
      <c r="W69" s="8"/>
      <c r="X69" s="78">
        <v>52.5</v>
      </c>
      <c r="Y69" s="76">
        <v>0.1</v>
      </c>
      <c r="Z69" s="8">
        <f t="shared" si="16"/>
        <v>0.9</v>
      </c>
      <c r="AA69" s="8">
        <f>'nano-Axi'!S86</f>
        <v>0.17743</v>
      </c>
      <c r="AB69" s="8">
        <f>'nano-Axi'!T86</f>
        <v>2.64</v>
      </c>
      <c r="AC69" s="9">
        <f>AB69/'nano-Axi'!X86</f>
        <v>5698179126.5729065</v>
      </c>
      <c r="AD69" s="2">
        <f>'nano-Axi'!$X86*101325*0.006/'nano-Axi'!$E86/2844</f>
        <v>1.5236764091077272E-12</v>
      </c>
      <c r="AE69" s="2">
        <f>0.006/'nano-Axi'!$X86*'nano-Axi'!$O86</f>
        <v>63327490747594.352</v>
      </c>
      <c r="AF69" s="7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T69" t="s">
        <v>373</v>
      </c>
      <c r="BV69">
        <v>1.1000000000000001</v>
      </c>
      <c r="BW69">
        <v>6.6000000000000003E-2</v>
      </c>
      <c r="BY69" s="3">
        <v>1.5</v>
      </c>
      <c r="BZ69">
        <f t="shared" si="6"/>
        <v>0.93399999999999994</v>
      </c>
      <c r="CA69" s="2">
        <v>8.8999999999999999E-3</v>
      </c>
      <c r="CB69" s="2">
        <v>13500000</v>
      </c>
      <c r="CC69">
        <f t="shared" si="13"/>
        <v>2844</v>
      </c>
      <c r="CD69" s="97">
        <f t="shared" si="23"/>
        <v>74</v>
      </c>
      <c r="CE69" s="101">
        <f t="shared" si="24"/>
        <v>3.8000000000000003E-8</v>
      </c>
      <c r="CF69" s="25">
        <f t="shared" si="7"/>
        <v>0.56902482810226795</v>
      </c>
      <c r="CG69" s="102">
        <f t="shared" si="22"/>
        <v>2.6360888416812851</v>
      </c>
      <c r="CH69" s="28">
        <f t="shared" si="9"/>
        <v>0</v>
      </c>
      <c r="CI69" s="102">
        <f t="shared" si="10"/>
        <v>0.32485808480864165</v>
      </c>
      <c r="CJ69" s="105">
        <f t="shared" si="11"/>
        <v>1.546824265358071</v>
      </c>
      <c r="CK69" t="s">
        <v>395</v>
      </c>
    </row>
    <row r="70" spans="1:89" x14ac:dyDescent="0.25">
      <c r="P70" s="8"/>
      <c r="Q70" s="8"/>
      <c r="R70" s="8"/>
      <c r="S70" s="8"/>
      <c r="T70" s="8"/>
      <c r="U70" s="8"/>
      <c r="V70" s="8"/>
      <c r="W70" s="8"/>
      <c r="X70" s="78" t="s">
        <v>547</v>
      </c>
      <c r="Y70" s="51">
        <v>0.3</v>
      </c>
      <c r="Z70">
        <f t="shared" si="16"/>
        <v>0.7</v>
      </c>
      <c r="AA70" s="8">
        <f>'nano-Axi'!S87</f>
        <v>0.15656</v>
      </c>
      <c r="AB70" s="8">
        <f>'nano-Axi'!T87</f>
        <v>3.03</v>
      </c>
      <c r="AC70" s="9">
        <f>AB70/'nano-Axi'!X87</f>
        <v>146528497.4093264</v>
      </c>
      <c r="AD70" s="2">
        <f>'nano-Axi'!$X87*101325*0.006/'nano-Axi'!$E87/2844</f>
        <v>6.8005720545277503E-11</v>
      </c>
      <c r="AE70" s="2">
        <f>0.006/'nano-Axi'!$X87*'nano-Axi'!$O87</f>
        <v>1418860103626.9429</v>
      </c>
      <c r="AF70" s="7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T70" t="s">
        <v>663</v>
      </c>
      <c r="BV70">
        <v>0.6</v>
      </c>
      <c r="BW70">
        <v>0.38</v>
      </c>
      <c r="BY70" s="3">
        <v>1</v>
      </c>
      <c r="BZ70">
        <f t="shared" si="6"/>
        <v>0.62</v>
      </c>
      <c r="CA70" s="2">
        <v>4.4999999999999997E-3</v>
      </c>
      <c r="CB70" s="2">
        <v>101325</v>
      </c>
      <c r="CC70">
        <v>3253</v>
      </c>
      <c r="CD70" s="97">
        <v>85</v>
      </c>
      <c r="CE70" s="2">
        <v>4.0000000000000001E-8</v>
      </c>
      <c r="CF70" s="25">
        <f t="shared" ref="CF70:CF73" si="25">BZ70^3/(1-BZ70)^2/72*CE70^2/(10^-5)*CB70/CA70</f>
        <v>8.2584674258746296E-5</v>
      </c>
      <c r="CG70" s="102">
        <f t="shared" ref="CG70:CG73" si="26">BY70/CF70</f>
        <v>12108.784214210216</v>
      </c>
      <c r="CH70" s="28">
        <f t="shared" ref="CH70:CH73" si="27">BX70*CF70/CA70</f>
        <v>0</v>
      </c>
      <c r="CI70" s="102">
        <f t="shared" ref="CI70:CI73" si="28">CF70*CB70*CA70/CD70/CC70</f>
        <v>1.3618384671779393E-7</v>
      </c>
      <c r="CJ70" s="105">
        <f t="shared" si="11"/>
        <v>6.4844462398703414E-7</v>
      </c>
      <c r="CK70" t="s">
        <v>666</v>
      </c>
    </row>
    <row r="71" spans="1:89" x14ac:dyDescent="0.25">
      <c r="P71" s="8"/>
      <c r="Q71" s="8"/>
      <c r="R71" s="8"/>
      <c r="S71" s="8"/>
      <c r="T71" s="8"/>
      <c r="U71" s="8"/>
      <c r="V71" s="8"/>
      <c r="W71" s="8"/>
      <c r="X71" s="78"/>
      <c r="Y71" s="51">
        <v>0.5</v>
      </c>
      <c r="Z71">
        <f t="shared" si="16"/>
        <v>0.5</v>
      </c>
      <c r="AA71" s="8">
        <f>'nano-Axi'!S88</f>
        <v>0.13728000000000001</v>
      </c>
      <c r="AB71" s="8">
        <f>'nano-Axi'!T88</f>
        <v>3.64</v>
      </c>
      <c r="AC71" s="9">
        <f>AB71/'nano-Axi'!X88</f>
        <v>19398963.730569948</v>
      </c>
      <c r="AD71" s="2">
        <f>'nano-Axi'!$X88*101325*0.006/'nano-Axi'!$E88/2844</f>
        <v>6.1708894568862925E-10</v>
      </c>
      <c r="AE71" s="2">
        <f>0.006/'nano-Axi'!$X88*'nano-Axi'!$O88</f>
        <v>156364174685.41821</v>
      </c>
      <c r="AF71" s="7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T71" t="s">
        <v>663</v>
      </c>
      <c r="BV71">
        <v>1</v>
      </c>
      <c r="BW71">
        <v>0.38</v>
      </c>
      <c r="BY71" s="3">
        <v>5</v>
      </c>
      <c r="BZ71">
        <f t="shared" si="6"/>
        <v>0.62</v>
      </c>
      <c r="CA71" s="2">
        <v>4.4999999999999997E-3</v>
      </c>
      <c r="CB71" s="2">
        <v>101325</v>
      </c>
      <c r="CC71">
        <v>3253</v>
      </c>
      <c r="CD71" s="97">
        <v>101</v>
      </c>
      <c r="CE71" s="2">
        <f>CE70</f>
        <v>4.0000000000000001E-8</v>
      </c>
      <c r="CF71" s="25">
        <f t="shared" si="25"/>
        <v>8.2584674258746296E-5</v>
      </c>
      <c r="CG71" s="102">
        <f t="shared" si="26"/>
        <v>60543.921071051082</v>
      </c>
      <c r="CH71" s="28">
        <f t="shared" si="27"/>
        <v>0</v>
      </c>
      <c r="CI71" s="102">
        <f t="shared" si="28"/>
        <v>1.1461016802982656E-7</v>
      </c>
      <c r="CJ71" s="105">
        <f t="shared" si="11"/>
        <v>5.45720723157405E-7</v>
      </c>
      <c r="CK71" t="s">
        <v>664</v>
      </c>
    </row>
    <row r="72" spans="1:89" x14ac:dyDescent="0.25">
      <c r="B72">
        <v>1.2</v>
      </c>
      <c r="C72">
        <v>7.0000000000000007E-2</v>
      </c>
      <c r="E72">
        <v>134</v>
      </c>
      <c r="F72" t="s">
        <v>374</v>
      </c>
      <c r="P72" s="8"/>
      <c r="Q72" s="8"/>
      <c r="R72" s="8"/>
      <c r="S72" s="8"/>
      <c r="T72" s="8"/>
      <c r="U72" s="8"/>
      <c r="V72" s="8"/>
      <c r="W72" s="8"/>
      <c r="X72" s="78"/>
      <c r="Y72" s="51">
        <v>0.7</v>
      </c>
      <c r="Z72">
        <f t="shared" si="16"/>
        <v>0.30000000000000004</v>
      </c>
      <c r="AA72" s="8">
        <f>'nano-Axi'!S89</f>
        <v>0.104134</v>
      </c>
      <c r="AB72" s="8">
        <f>'nano-Axi'!T89</f>
        <v>4.76</v>
      </c>
      <c r="AC72" s="9">
        <f>AB72/'nano-Axi'!X89</f>
        <v>3328146.9508602861</v>
      </c>
      <c r="AD72" s="2">
        <f>'nano-Axi'!$X89*101325*0.006/'nano-Axi'!$E89/2844</f>
        <v>4.7035890749155494E-9</v>
      </c>
      <c r="AE72" s="2">
        <f>0.006/'nano-Axi'!$X89*'nano-Axi'!$O89</f>
        <v>20514250323.159832</v>
      </c>
      <c r="AF72" s="7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T72" t="s">
        <v>663</v>
      </c>
      <c r="BV72">
        <v>1.5</v>
      </c>
      <c r="BW72">
        <v>0.38</v>
      </c>
      <c r="BY72" s="3">
        <v>8</v>
      </c>
      <c r="BZ72">
        <f t="shared" si="6"/>
        <v>0.62</v>
      </c>
      <c r="CA72" s="2">
        <v>4.4999999999999997E-3</v>
      </c>
      <c r="CB72" s="2">
        <v>101325</v>
      </c>
      <c r="CC72">
        <v>3253</v>
      </c>
      <c r="CD72" s="97">
        <v>118</v>
      </c>
      <c r="CE72" s="2">
        <f t="shared" ref="CE72:CE74" si="29">CE71</f>
        <v>4.0000000000000001E-8</v>
      </c>
      <c r="CF72" s="25">
        <f t="shared" si="25"/>
        <v>8.2584674258746296E-5</v>
      </c>
      <c r="CG72" s="102">
        <f t="shared" si="26"/>
        <v>96870.27371368173</v>
      </c>
      <c r="CH72" s="28">
        <f t="shared" si="27"/>
        <v>0</v>
      </c>
      <c r="CI72" s="102">
        <f t="shared" si="28"/>
        <v>9.8098533652648161E-8</v>
      </c>
      <c r="CJ72" s="105">
        <f t="shared" si="11"/>
        <v>4.6709994100760936E-7</v>
      </c>
      <c r="CK72" t="s">
        <v>664</v>
      </c>
    </row>
    <row r="73" spans="1:89" x14ac:dyDescent="0.25">
      <c r="C73">
        <v>7.0000000000000007E-2</v>
      </c>
      <c r="E73">
        <v>583</v>
      </c>
      <c r="F73" t="s">
        <v>375</v>
      </c>
      <c r="P73" s="8"/>
      <c r="Q73" s="8"/>
      <c r="R73" s="8"/>
      <c r="S73" s="8"/>
      <c r="T73" s="8"/>
      <c r="U73" s="8"/>
      <c r="V73" s="8"/>
      <c r="W73" s="8"/>
      <c r="X73" s="78"/>
      <c r="Y73" s="51">
        <v>0.9</v>
      </c>
      <c r="Z73">
        <f t="shared" si="16"/>
        <v>9.9999999999999978E-2</v>
      </c>
      <c r="AA73" s="8">
        <f>'nano-Axi'!S90</f>
        <v>5.5454000000000003E-2</v>
      </c>
      <c r="AB73" s="8">
        <f>'nano-Axi'!T90</f>
        <v>8.0299999999999994</v>
      </c>
      <c r="AC73" s="9">
        <f>AB73/'nano-Axi'!X90</f>
        <v>293518.29006405844</v>
      </c>
      <c r="AD73" s="2">
        <f>'nano-Axi'!$X90*101325*0.006/'nano-Axi'!$E90/2844</f>
        <v>8.9971568281402213E-8</v>
      </c>
      <c r="AE73" s="2">
        <f>0.006/'nano-Axi'!$X90*'nano-Axi'!$O90</f>
        <v>1072456616.4980668</v>
      </c>
      <c r="AF73" s="7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T73" t="s">
        <v>663</v>
      </c>
      <c r="BV73">
        <v>2.2999999999999998</v>
      </c>
      <c r="BW73">
        <v>0.38</v>
      </c>
      <c r="BY73" s="3">
        <v>2</v>
      </c>
      <c r="BZ73">
        <f t="shared" si="6"/>
        <v>0.62</v>
      </c>
      <c r="CA73" s="2">
        <v>4.4999999999999997E-3</v>
      </c>
      <c r="CB73" s="2">
        <v>101325</v>
      </c>
      <c r="CC73">
        <v>3253</v>
      </c>
      <c r="CD73" s="97">
        <v>137</v>
      </c>
      <c r="CE73" s="2">
        <f t="shared" si="29"/>
        <v>4.0000000000000001E-8</v>
      </c>
      <c r="CF73" s="25">
        <f t="shared" si="25"/>
        <v>8.2584674258746296E-5</v>
      </c>
      <c r="CG73" s="102">
        <f t="shared" si="26"/>
        <v>24217.568428420433</v>
      </c>
      <c r="CH73" s="28">
        <f t="shared" si="27"/>
        <v>0</v>
      </c>
      <c r="CI73" s="102">
        <f t="shared" si="28"/>
        <v>8.449362752563855E-8</v>
      </c>
      <c r="CJ73" s="105">
        <f t="shared" si="11"/>
        <v>4.023196572182329E-7</v>
      </c>
      <c r="CK73" t="s">
        <v>664</v>
      </c>
    </row>
    <row r="74" spans="1:89" x14ac:dyDescent="0.25">
      <c r="P74" s="8"/>
      <c r="Q74" s="8"/>
      <c r="R74" s="8"/>
      <c r="S74" s="8"/>
      <c r="T74" s="8"/>
      <c r="U74" s="8"/>
      <c r="V74" s="8"/>
      <c r="W74" s="8"/>
      <c r="X74" s="78" t="str">
        <f>P44</f>
        <v>1um</v>
      </c>
      <c r="Y74" s="78">
        <f t="shared" ref="Y74:AE74" si="30">Q44</f>
        <v>0.1</v>
      </c>
      <c r="Z74" s="78">
        <f t="shared" si="30"/>
        <v>0.9</v>
      </c>
      <c r="AA74" s="78">
        <f t="shared" si="30"/>
        <v>0.2175</v>
      </c>
      <c r="AB74" s="78">
        <f t="shared" si="30"/>
        <v>5.25</v>
      </c>
      <c r="AC74" s="78">
        <f t="shared" si="30"/>
        <v>181305.69948186527</v>
      </c>
      <c r="AD74" s="78">
        <f t="shared" si="30"/>
        <v>9.5229775569232906E-8</v>
      </c>
      <c r="AE74" s="78">
        <f t="shared" si="30"/>
        <v>1013239851.9615099</v>
      </c>
      <c r="AF74" s="7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T74" t="s">
        <v>663</v>
      </c>
      <c r="BV74">
        <v>3.6</v>
      </c>
      <c r="BW74">
        <v>0.38</v>
      </c>
      <c r="BY74" s="6">
        <v>1</v>
      </c>
      <c r="BZ74">
        <f t="shared" ref="BZ74:BZ93" si="31">1-BW74</f>
        <v>0.62</v>
      </c>
      <c r="CA74" s="2">
        <v>4.4999999999999997E-3</v>
      </c>
      <c r="CB74" s="2">
        <v>101325</v>
      </c>
      <c r="CC74">
        <v>3253</v>
      </c>
      <c r="CD74" s="97">
        <v>158</v>
      </c>
      <c r="CE74" s="2">
        <f t="shared" si="29"/>
        <v>4.0000000000000001E-8</v>
      </c>
      <c r="CF74" s="25">
        <f t="shared" ref="CF74" si="32">BZ74^3/(1-BZ74)^2/72*CE74^2/(10^-5)*CB74/CA74</f>
        <v>8.2584674258746296E-5</v>
      </c>
      <c r="CG74" s="102">
        <f t="shared" ref="CG74" si="33">BY74/CF74</f>
        <v>12108.784214210216</v>
      </c>
      <c r="CH74" s="28">
        <f t="shared" ref="CH74" si="34">BX74*CF74/CA74</f>
        <v>0</v>
      </c>
      <c r="CI74" s="102">
        <f t="shared" ref="CI74" si="35">CF74*CB74*CA74/CD74/CC74</f>
        <v>7.3263461841851161E-8</v>
      </c>
      <c r="CJ74" s="105">
        <f t="shared" si="11"/>
        <v>3.4884679138542975E-7</v>
      </c>
      <c r="CK74" t="s">
        <v>664</v>
      </c>
    </row>
    <row r="75" spans="1:89" x14ac:dyDescent="0.25">
      <c r="P75" s="8"/>
      <c r="Q75" s="8"/>
      <c r="R75" s="8"/>
      <c r="S75" s="8"/>
      <c r="T75" s="8"/>
      <c r="U75" s="8"/>
      <c r="V75" s="8"/>
      <c r="W75" s="8"/>
      <c r="X75" s="78" t="str">
        <f t="shared" ref="X75:X81" si="36">P45</f>
        <v>1um</v>
      </c>
      <c r="Y75" s="78">
        <f t="shared" ref="Y75:Y81" si="37">Q45</f>
        <v>0.2</v>
      </c>
      <c r="Z75" s="78">
        <f t="shared" ref="Z75:Z81" si="38">R45</f>
        <v>0.8</v>
      </c>
      <c r="AA75" s="78">
        <f t="shared" ref="AA75:AA81" si="39">S45</f>
        <v>0.212534</v>
      </c>
      <c r="AB75" s="78">
        <f t="shared" ref="AB75:AB81" si="40">T45</f>
        <v>5.99</v>
      </c>
      <c r="AC75" s="78">
        <f t="shared" ref="AC75:AC81" si="41">U45</f>
        <v>20430.732790525541</v>
      </c>
      <c r="AD75" s="78">
        <f t="shared" ref="AD75:AD81" si="42">V45</f>
        <v>9.6420147763848325E-7</v>
      </c>
      <c r="AE75" s="78">
        <f t="shared" ref="AE75:AE81" si="43">W45</f>
        <v>100073071.79866768</v>
      </c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T75" t="s">
        <v>663</v>
      </c>
      <c r="BV75">
        <v>0.5</v>
      </c>
      <c r="BW75">
        <v>0.38</v>
      </c>
      <c r="BY75" s="6">
        <v>2</v>
      </c>
      <c r="BZ75">
        <f t="shared" si="31"/>
        <v>0.62</v>
      </c>
      <c r="CA75" s="2">
        <v>4.4999999999999997E-3</v>
      </c>
      <c r="CB75" s="2">
        <v>101325</v>
      </c>
      <c r="CC75">
        <v>3253</v>
      </c>
      <c r="CD75" s="97">
        <v>80</v>
      </c>
      <c r="CE75" s="2">
        <v>2.9999999999999997E-8</v>
      </c>
      <c r="CF75" s="25">
        <f t="shared" ref="CF75:CF79" si="44">BZ75^3/(1-BZ75)^2/72*CE75^2/(10^-5)*CB75/CA75</f>
        <v>4.6453879270544785E-5</v>
      </c>
      <c r="CG75" s="102">
        <f t="shared" ref="CG75:CG79" si="45">BY75/CF75</f>
        <v>43053.454983858552</v>
      </c>
      <c r="CH75" s="28">
        <f t="shared" ref="CH75:CH79" si="46">BX75*CF75/CA75</f>
        <v>0</v>
      </c>
      <c r="CI75" s="102">
        <f t="shared" ref="CI75:CI79" si="47">CF75*CB75*CA75/CD75/CC75</f>
        <v>8.1391127139931512E-8</v>
      </c>
      <c r="CJ75" s="105">
        <f t="shared" si="11"/>
        <v>3.8754698230475082E-7</v>
      </c>
      <c r="CK75" t="s">
        <v>665</v>
      </c>
    </row>
    <row r="76" spans="1:89" x14ac:dyDescent="0.25">
      <c r="P76" s="8"/>
      <c r="Q76" s="8"/>
      <c r="R76" s="8"/>
      <c r="S76" s="8"/>
      <c r="T76" s="8"/>
      <c r="U76" s="8"/>
      <c r="V76" s="8"/>
      <c r="W76" s="8"/>
      <c r="X76" s="78">
        <f t="shared" si="36"/>
        <v>0</v>
      </c>
      <c r="Y76" s="78">
        <f t="shared" si="37"/>
        <v>0.25</v>
      </c>
      <c r="Z76" s="78">
        <f t="shared" si="38"/>
        <v>0.75</v>
      </c>
      <c r="AA76" s="78">
        <f t="shared" si="39"/>
        <v>0.19870399999999999</v>
      </c>
      <c r="AB76" s="78">
        <f t="shared" si="40"/>
        <v>6.33</v>
      </c>
      <c r="AC76" s="78">
        <f t="shared" si="41"/>
        <v>9715.6831976313861</v>
      </c>
      <c r="AD76" s="78">
        <f t="shared" si="42"/>
        <v>2.1426699503077401E-6</v>
      </c>
      <c r="AE76" s="78">
        <f t="shared" si="43"/>
        <v>45032882.309400454</v>
      </c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T76" t="s">
        <v>663</v>
      </c>
      <c r="BV76">
        <v>0.8</v>
      </c>
      <c r="BW76">
        <v>0.38</v>
      </c>
      <c r="BY76" s="6">
        <v>4</v>
      </c>
      <c r="BZ76">
        <f t="shared" si="31"/>
        <v>0.62</v>
      </c>
      <c r="CA76" s="2">
        <v>4.4999999999999997E-3</v>
      </c>
      <c r="CB76" s="2">
        <v>101325</v>
      </c>
      <c r="CC76">
        <v>3253</v>
      </c>
      <c r="CD76">
        <v>93</v>
      </c>
      <c r="CE76" s="2">
        <f>CE75</f>
        <v>2.9999999999999997E-8</v>
      </c>
      <c r="CF76" s="25">
        <f t="shared" si="44"/>
        <v>4.6453879270544785E-5</v>
      </c>
      <c r="CG76" s="102">
        <f t="shared" si="45"/>
        <v>86106.909967717103</v>
      </c>
      <c r="CH76" s="28">
        <f t="shared" si="46"/>
        <v>0</v>
      </c>
      <c r="CI76" s="102">
        <f t="shared" si="47"/>
        <v>7.0013872808543234E-8</v>
      </c>
      <c r="CJ76" s="105">
        <f t="shared" si="11"/>
        <v>3.3337374821914052E-7</v>
      </c>
      <c r="CK76" t="s">
        <v>665</v>
      </c>
    </row>
    <row r="77" spans="1:89" x14ac:dyDescent="0.25">
      <c r="P77" s="8"/>
      <c r="Q77" s="8"/>
      <c r="R77" s="8"/>
      <c r="S77" s="8"/>
      <c r="T77" s="8"/>
      <c r="U77" s="8"/>
      <c r="V77" s="8"/>
      <c r="W77" s="8"/>
      <c r="X77" s="78">
        <f t="shared" si="36"/>
        <v>0</v>
      </c>
      <c r="Y77" s="78">
        <f t="shared" si="37"/>
        <v>0.3</v>
      </c>
      <c r="Z77" s="78">
        <f t="shared" si="38"/>
        <v>0.7</v>
      </c>
      <c r="AA77" s="78">
        <f t="shared" si="39"/>
        <v>0.19134000000000001</v>
      </c>
      <c r="AB77" s="78">
        <f t="shared" si="40"/>
        <v>6.93</v>
      </c>
      <c r="AC77" s="78">
        <f t="shared" si="41"/>
        <v>6977.3621958035601</v>
      </c>
      <c r="AD77" s="78">
        <f t="shared" si="42"/>
        <v>3.2663813020246892E-6</v>
      </c>
      <c r="AE77" s="78">
        <f t="shared" si="43"/>
        <v>29540520.465350136</v>
      </c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T77" t="s">
        <v>663</v>
      </c>
      <c r="BV77">
        <v>1.2</v>
      </c>
      <c r="BW77">
        <v>0.38</v>
      </c>
      <c r="BY77" s="6">
        <v>6</v>
      </c>
      <c r="BZ77">
        <f t="shared" si="31"/>
        <v>0.62</v>
      </c>
      <c r="CA77" s="2">
        <v>4.4999999999999997E-3</v>
      </c>
      <c r="CB77" s="2">
        <v>101325</v>
      </c>
      <c r="CC77">
        <v>3253</v>
      </c>
      <c r="CD77" s="97">
        <v>108</v>
      </c>
      <c r="CE77" s="2">
        <f t="shared" ref="CE77:CE79" si="48">CE76</f>
        <v>2.9999999999999997E-8</v>
      </c>
      <c r="CF77" s="25">
        <f t="shared" si="44"/>
        <v>4.6453879270544785E-5</v>
      </c>
      <c r="CG77" s="102">
        <f t="shared" si="45"/>
        <v>129160.36495157567</v>
      </c>
      <c r="CH77" s="28">
        <f t="shared" si="46"/>
        <v>0</v>
      </c>
      <c r="CI77" s="102">
        <f t="shared" si="47"/>
        <v>6.0289723807356674E-8</v>
      </c>
      <c r="CJ77" s="105">
        <f t="shared" si="11"/>
        <v>2.8707183874425988E-7</v>
      </c>
      <c r="CK77" t="s">
        <v>665</v>
      </c>
    </row>
    <row r="78" spans="1:89" x14ac:dyDescent="0.25">
      <c r="P78" s="8"/>
      <c r="Q78" s="8"/>
      <c r="R78" s="8"/>
      <c r="S78" s="8"/>
      <c r="T78" s="8"/>
      <c r="U78" s="8"/>
      <c r="V78" s="8"/>
      <c r="W78" s="8"/>
      <c r="X78" s="78">
        <f t="shared" si="36"/>
        <v>0</v>
      </c>
      <c r="Y78" s="78">
        <f t="shared" si="37"/>
        <v>0.4</v>
      </c>
      <c r="Z78" s="78">
        <f t="shared" si="38"/>
        <v>0.6</v>
      </c>
      <c r="AA78" s="78">
        <f t="shared" si="39"/>
        <v>0.14635600000000001</v>
      </c>
      <c r="AB78" s="78">
        <f t="shared" si="40"/>
        <v>7.28</v>
      </c>
      <c r="AC78" s="78">
        <f t="shared" si="41"/>
        <v>6415.3627399764237</v>
      </c>
      <c r="AD78" s="78">
        <f t="shared" si="42"/>
        <v>3.7319436362824784E-6</v>
      </c>
      <c r="AE78" s="78">
        <f t="shared" si="43"/>
        <v>25855321.811937947</v>
      </c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T78" t="s">
        <v>663</v>
      </c>
      <c r="BV78">
        <v>1.8</v>
      </c>
      <c r="BW78">
        <v>0.38</v>
      </c>
      <c r="BY78" s="6">
        <v>1</v>
      </c>
      <c r="BZ78">
        <f t="shared" si="31"/>
        <v>0.62</v>
      </c>
      <c r="CA78" s="2">
        <v>4.4999999999999997E-3</v>
      </c>
      <c r="CB78" s="2">
        <v>101325</v>
      </c>
      <c r="CC78">
        <v>3253</v>
      </c>
      <c r="CD78" s="97">
        <v>126</v>
      </c>
      <c r="CE78" s="2">
        <f t="shared" si="48"/>
        <v>2.9999999999999997E-8</v>
      </c>
      <c r="CF78" s="25">
        <f t="shared" si="44"/>
        <v>4.6453879270544785E-5</v>
      </c>
      <c r="CG78" s="102">
        <f t="shared" si="45"/>
        <v>21526.727491929276</v>
      </c>
      <c r="CH78" s="28">
        <f t="shared" si="46"/>
        <v>0</v>
      </c>
      <c r="CI78" s="102">
        <f t="shared" si="47"/>
        <v>5.1676906120591435E-8</v>
      </c>
      <c r="CJ78" s="105">
        <f t="shared" si="11"/>
        <v>2.4606157606650847E-7</v>
      </c>
      <c r="CK78" t="s">
        <v>665</v>
      </c>
    </row>
    <row r="79" spans="1:89" x14ac:dyDescent="0.25">
      <c r="P79" s="8"/>
      <c r="Q79" s="8"/>
      <c r="R79" s="8"/>
      <c r="S79" s="8"/>
      <c r="T79" s="8"/>
      <c r="U79" s="8"/>
      <c r="V79" s="8"/>
      <c r="W79" s="8"/>
      <c r="X79" s="78">
        <f t="shared" si="36"/>
        <v>0</v>
      </c>
      <c r="Y79" s="78">
        <f t="shared" si="37"/>
        <v>0.5</v>
      </c>
      <c r="Z79" s="78">
        <f t="shared" si="38"/>
        <v>0.5</v>
      </c>
      <c r="AA79" s="78">
        <f t="shared" si="39"/>
        <v>0.145952</v>
      </c>
      <c r="AB79" s="78">
        <f t="shared" si="40"/>
        <v>8.09</v>
      </c>
      <c r="AC79" s="78">
        <f t="shared" si="41"/>
        <v>6259.620034542314</v>
      </c>
      <c r="AD79" s="78">
        <f t="shared" si="42"/>
        <v>4.2503575340798442E-6</v>
      </c>
      <c r="AE79" s="78">
        <f t="shared" si="43"/>
        <v>22701761.658031091</v>
      </c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T79" t="s">
        <v>663</v>
      </c>
      <c r="BV79">
        <v>2.8</v>
      </c>
      <c r="BW79">
        <v>0.38</v>
      </c>
      <c r="BY79" s="6">
        <v>1</v>
      </c>
      <c r="BZ79">
        <f t="shared" si="31"/>
        <v>0.62</v>
      </c>
      <c r="CA79" s="2">
        <v>4.4999999999999997E-3</v>
      </c>
      <c r="CB79" s="2">
        <v>101325</v>
      </c>
      <c r="CC79">
        <v>3253</v>
      </c>
      <c r="CD79" s="97">
        <v>146</v>
      </c>
      <c r="CE79" s="2">
        <f t="shared" si="48"/>
        <v>2.9999999999999997E-8</v>
      </c>
      <c r="CF79" s="25">
        <f t="shared" si="44"/>
        <v>4.6453879270544785E-5</v>
      </c>
      <c r="CG79" s="102">
        <f t="shared" si="45"/>
        <v>21526.727491929276</v>
      </c>
      <c r="CH79" s="28">
        <f t="shared" si="46"/>
        <v>0</v>
      </c>
      <c r="CI79" s="102">
        <f t="shared" si="47"/>
        <v>4.4597877884893981E-8</v>
      </c>
      <c r="CJ79" s="105">
        <f t="shared" si="11"/>
        <v>2.1235451085191826E-7</v>
      </c>
      <c r="CK79" t="s">
        <v>665</v>
      </c>
    </row>
    <row r="80" spans="1:89" x14ac:dyDescent="0.25">
      <c r="P80" s="8"/>
      <c r="Q80" s="8"/>
      <c r="R80" s="8"/>
      <c r="S80" s="8"/>
      <c r="T80" s="8"/>
      <c r="U80" s="8"/>
      <c r="V80" s="8"/>
      <c r="W80" s="8"/>
      <c r="X80" s="78">
        <f t="shared" si="36"/>
        <v>0</v>
      </c>
      <c r="Y80" s="78">
        <f t="shared" si="37"/>
        <v>0.7</v>
      </c>
      <c r="Z80" s="78">
        <f t="shared" si="38"/>
        <v>0.30000000000000004</v>
      </c>
      <c r="AA80" s="78">
        <f t="shared" si="39"/>
        <v>0.109858</v>
      </c>
      <c r="AB80" s="78">
        <f t="shared" si="40"/>
        <v>10.53</v>
      </c>
      <c r="AC80" s="78">
        <f t="shared" si="41"/>
        <v>7174.7802759421338</v>
      </c>
      <c r="AD80" s="78">
        <f t="shared" si="42"/>
        <v>4.8266374661336794E-6</v>
      </c>
      <c r="AE80" s="78">
        <f t="shared" si="43"/>
        <v>19991268.11929176</v>
      </c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T80" t="s">
        <v>668</v>
      </c>
      <c r="BV80">
        <v>1.9</v>
      </c>
      <c r="BW80">
        <v>0.38</v>
      </c>
      <c r="BY80" s="6">
        <v>78</v>
      </c>
      <c r="BZ80">
        <f t="shared" si="31"/>
        <v>0.62</v>
      </c>
      <c r="CA80" s="101">
        <v>8.0000000000000002E-3</v>
      </c>
      <c r="CB80" s="2">
        <v>101325</v>
      </c>
      <c r="CC80">
        <f>CC44</f>
        <v>2844</v>
      </c>
      <c r="CD80" s="97">
        <v>95</v>
      </c>
      <c r="CE80" s="13">
        <v>3.9099999999999999E-8</v>
      </c>
      <c r="CF80" s="25">
        <f t="shared" ref="CF80:CF84" si="49">BZ80^3/(1-BZ80)^2/72*CE80^2/(10^-5)*CB80/CA80</f>
        <v>4.4386971979750977E-5</v>
      </c>
      <c r="CG80" s="102">
        <f t="shared" ref="CG80:CG84" si="50">BY80/CF80</f>
        <v>1757272.3824365188</v>
      </c>
      <c r="CH80" s="28">
        <f t="shared" ref="CH80:CH84" si="51">BX80*CF80/CA80</f>
        <v>0</v>
      </c>
      <c r="CI80" s="102">
        <f t="shared" ref="CI80:CI84" si="52">CF80*CB80*CA80/CD80/CC80</f>
        <v>1.3317077313933726E-7</v>
      </c>
      <c r="CJ80" s="105">
        <f t="shared" si="11"/>
        <v>6.3409775825576744E-7</v>
      </c>
      <c r="CK80" t="s">
        <v>669</v>
      </c>
    </row>
    <row r="81" spans="16:89" x14ac:dyDescent="0.25">
      <c r="P81" s="8"/>
      <c r="Q81" s="8"/>
      <c r="R81" s="8"/>
      <c r="S81" s="8"/>
      <c r="T81" s="8"/>
      <c r="U81" s="8"/>
      <c r="V81" s="8"/>
      <c r="W81" s="8"/>
      <c r="X81" s="78">
        <f t="shared" si="36"/>
        <v>0</v>
      </c>
      <c r="Y81" s="78">
        <f t="shared" si="37"/>
        <v>0.9</v>
      </c>
      <c r="Z81" s="78">
        <f t="shared" si="38"/>
        <v>9.9999999999999978E-2</v>
      </c>
      <c r="AA81" s="78">
        <f t="shared" si="39"/>
        <v>5.8112999999999998E-2</v>
      </c>
      <c r="AB81" s="78">
        <f t="shared" si="40"/>
        <v>17.27</v>
      </c>
      <c r="AC81" s="78">
        <f t="shared" si="41"/>
        <v>4141.7320503330857</v>
      </c>
      <c r="AD81" s="78">
        <f t="shared" si="42"/>
        <v>1.3713087681969545E-5</v>
      </c>
      <c r="AE81" s="78">
        <f t="shared" si="43"/>
        <v>7036387.8608438177</v>
      </c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T81" t="s">
        <v>668</v>
      </c>
      <c r="BV81">
        <v>1.9</v>
      </c>
      <c r="BW81">
        <v>0.45</v>
      </c>
      <c r="BY81" s="6">
        <v>60</v>
      </c>
      <c r="BZ81" s="4">
        <f t="shared" si="31"/>
        <v>0.55000000000000004</v>
      </c>
      <c r="CA81" s="101">
        <v>8.0000000000000002E-3</v>
      </c>
      <c r="CB81" s="2">
        <v>101325</v>
      </c>
      <c r="CC81">
        <f>CC80</f>
        <v>2844</v>
      </c>
      <c r="CD81" s="97">
        <f>CD80</f>
        <v>95</v>
      </c>
      <c r="CE81" s="13">
        <f>CE80</f>
        <v>3.9099999999999999E-8</v>
      </c>
      <c r="CF81" s="25">
        <f t="shared" si="49"/>
        <v>2.2095848561358676E-5</v>
      </c>
      <c r="CG81" s="102">
        <f t="shared" si="50"/>
        <v>2715442.2168211401</v>
      </c>
      <c r="CH81" s="28">
        <f t="shared" si="51"/>
        <v>0</v>
      </c>
      <c r="CI81" s="102">
        <f t="shared" si="52"/>
        <v>6.6292452601367036E-8</v>
      </c>
      <c r="CJ81" s="105">
        <f t="shared" si="11"/>
        <v>3.1565406277112452E-7</v>
      </c>
      <c r="CK81" t="s">
        <v>669</v>
      </c>
    </row>
    <row r="82" spans="16:89" x14ac:dyDescent="0.25">
      <c r="P82" s="8"/>
      <c r="Q82" s="8"/>
      <c r="R82" s="8"/>
      <c r="S82" s="8"/>
      <c r="T82" s="8"/>
      <c r="U82" s="8"/>
      <c r="V82" s="8"/>
      <c r="W82" s="8"/>
      <c r="X82" s="78" t="str">
        <f t="shared" ref="X82:AE86" si="53">P54</f>
        <v>100nm</v>
      </c>
      <c r="Y82" s="78">
        <f t="shared" si="53"/>
        <v>0.1</v>
      </c>
      <c r="Z82" s="78">
        <f t="shared" si="53"/>
        <v>0.9</v>
      </c>
      <c r="AA82" s="78">
        <f t="shared" si="53"/>
        <v>0.26662000000000002</v>
      </c>
      <c r="AB82" s="78">
        <f t="shared" si="53"/>
        <v>3.14</v>
      </c>
      <c r="AC82" s="78">
        <f t="shared" si="53"/>
        <v>10843807.54996299</v>
      </c>
      <c r="AD82" s="78">
        <f t="shared" si="53"/>
        <v>9.5229775569232922E-10</v>
      </c>
      <c r="AE82" s="78">
        <f t="shared" si="53"/>
        <v>101323985196.15099</v>
      </c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T82" t="s">
        <v>668</v>
      </c>
      <c r="BV82">
        <v>1.9</v>
      </c>
      <c r="BW82">
        <v>0.52</v>
      </c>
      <c r="BY82" s="6">
        <v>55</v>
      </c>
      <c r="BZ82" s="4">
        <f t="shared" si="31"/>
        <v>0.48</v>
      </c>
      <c r="CA82" s="101">
        <v>8.0000000000000002E-3</v>
      </c>
      <c r="CB82" s="2">
        <v>101325</v>
      </c>
      <c r="CC82">
        <f t="shared" ref="CC82:CC93" si="54">CC81</f>
        <v>2844</v>
      </c>
      <c r="CD82" s="97">
        <f t="shared" ref="CD82:CD84" si="55">CD81</f>
        <v>95</v>
      </c>
      <c r="CE82" s="13">
        <f t="shared" ref="CE82:CE84" si="56">CE81</f>
        <v>3.9099999999999999E-8</v>
      </c>
      <c r="CF82" s="25">
        <f t="shared" si="49"/>
        <v>1.0999290408284024E-5</v>
      </c>
      <c r="CG82" s="102">
        <f t="shared" si="50"/>
        <v>5000322.5624970505</v>
      </c>
      <c r="CH82" s="28">
        <f t="shared" si="51"/>
        <v>0</v>
      </c>
      <c r="CI82" s="102">
        <f t="shared" si="52"/>
        <v>3.3000313883170584E-8</v>
      </c>
      <c r="CJ82" s="105">
        <f t="shared" si="11"/>
        <v>1.5713226379755842E-7</v>
      </c>
      <c r="CK82" t="s">
        <v>669</v>
      </c>
    </row>
    <row r="83" spans="16:89" x14ac:dyDescent="0.25">
      <c r="P83" s="8"/>
      <c r="Q83" s="8"/>
      <c r="R83" s="8"/>
      <c r="S83" s="8"/>
      <c r="T83" s="8"/>
      <c r="U83" s="8"/>
      <c r="V83" s="8"/>
      <c r="W83" s="8"/>
      <c r="X83" s="78">
        <f t="shared" si="53"/>
        <v>0</v>
      </c>
      <c r="Y83" s="78">
        <f t="shared" si="53"/>
        <v>0.3</v>
      </c>
      <c r="Z83" s="78">
        <f t="shared" si="53"/>
        <v>0.7</v>
      </c>
      <c r="AA83" s="78">
        <f t="shared" si="53"/>
        <v>0.22092000000000001</v>
      </c>
      <c r="AB83" s="78">
        <f t="shared" si="53"/>
        <v>4.5</v>
      </c>
      <c r="AC83" s="78">
        <f t="shared" si="53"/>
        <v>348186.52849740942</v>
      </c>
      <c r="AD83" s="78">
        <f t="shared" si="53"/>
        <v>4.2503575340798434E-8</v>
      </c>
      <c r="AE83" s="78">
        <f t="shared" si="53"/>
        <v>2270176165.8031092</v>
      </c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T83" t="s">
        <v>668</v>
      </c>
      <c r="BV83">
        <v>1.9</v>
      </c>
      <c r="BW83">
        <v>0.65</v>
      </c>
      <c r="BY83" s="6">
        <v>50</v>
      </c>
      <c r="BZ83" s="4">
        <f t="shared" si="31"/>
        <v>0.35</v>
      </c>
      <c r="CA83" s="101">
        <v>8.0000000000000002E-3</v>
      </c>
      <c r="CB83" s="2">
        <v>101325</v>
      </c>
      <c r="CC83">
        <f t="shared" si="54"/>
        <v>2844</v>
      </c>
      <c r="CD83" s="97">
        <f t="shared" si="55"/>
        <v>95</v>
      </c>
      <c r="CE83" s="13">
        <f t="shared" si="56"/>
        <v>3.9099999999999999E-8</v>
      </c>
      <c r="CF83" s="25">
        <f t="shared" si="49"/>
        <v>2.7291352792544983E-6</v>
      </c>
      <c r="CG83" s="102">
        <f t="shared" si="50"/>
        <v>18320821.389864635</v>
      </c>
      <c r="CH83" s="28">
        <f t="shared" si="51"/>
        <v>0</v>
      </c>
      <c r="CI83" s="102">
        <f t="shared" si="52"/>
        <v>8.1880119082230231E-9</v>
      </c>
      <c r="CJ83" s="105">
        <f t="shared" si="11"/>
        <v>3.8987533624538857E-8</v>
      </c>
      <c r="CK83" t="s">
        <v>669</v>
      </c>
    </row>
    <row r="84" spans="16:89" x14ac:dyDescent="0.25">
      <c r="P84" s="8"/>
      <c r="Q84" s="8"/>
      <c r="R84" s="8"/>
      <c r="S84" s="8"/>
      <c r="T84" s="8"/>
      <c r="U84" s="8"/>
      <c r="V84" s="8"/>
      <c r="W84" s="8"/>
      <c r="X84" s="78">
        <f t="shared" si="53"/>
        <v>0</v>
      </c>
      <c r="Y84" s="78">
        <f t="shared" si="53"/>
        <v>0.5</v>
      </c>
      <c r="Z84" s="78">
        <f t="shared" si="53"/>
        <v>0.5</v>
      </c>
      <c r="AA84" s="78">
        <f t="shared" si="53"/>
        <v>0.17083999999999999</v>
      </c>
      <c r="AB84" s="78">
        <f t="shared" si="53"/>
        <v>6.12</v>
      </c>
      <c r="AC84" s="78">
        <f t="shared" si="53"/>
        <v>52185.344189489289</v>
      </c>
      <c r="AD84" s="78">
        <f t="shared" si="53"/>
        <v>3.8568059105539312E-7</v>
      </c>
      <c r="AE84" s="78">
        <f t="shared" si="53"/>
        <v>250182679.49666923</v>
      </c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T84" t="s">
        <v>668</v>
      </c>
      <c r="BV84">
        <v>1.9</v>
      </c>
      <c r="BW84">
        <v>0.82</v>
      </c>
      <c r="BY84" s="6">
        <v>45</v>
      </c>
      <c r="BZ84" s="4">
        <f t="shared" si="31"/>
        <v>0.18000000000000005</v>
      </c>
      <c r="CA84" s="101">
        <v>8.0000000000000002E-3</v>
      </c>
      <c r="CB84" s="2">
        <v>101325</v>
      </c>
      <c r="CC84">
        <f t="shared" si="54"/>
        <v>2844</v>
      </c>
      <c r="CD84" s="97">
        <f t="shared" si="55"/>
        <v>95</v>
      </c>
      <c r="CE84" s="13">
        <f t="shared" si="56"/>
        <v>3.9099999999999999E-8</v>
      </c>
      <c r="CF84" s="25">
        <f t="shared" si="49"/>
        <v>2.3325848701015037E-7</v>
      </c>
      <c r="CG84" s="102">
        <f t="shared" si="50"/>
        <v>192919025.48455524</v>
      </c>
      <c r="CH84" s="28">
        <f t="shared" si="51"/>
        <v>0</v>
      </c>
      <c r="CI84" s="102">
        <f t="shared" si="52"/>
        <v>6.9982726171599647E-10</v>
      </c>
      <c r="CJ84" s="105">
        <f t="shared" si="11"/>
        <v>3.3322544230938596E-9</v>
      </c>
      <c r="CK84" t="s">
        <v>669</v>
      </c>
    </row>
    <row r="85" spans="16:89" x14ac:dyDescent="0.25">
      <c r="P85" s="8"/>
      <c r="Q85" s="8"/>
      <c r="R85" s="8"/>
      <c r="S85" s="8"/>
      <c r="T85" s="8"/>
      <c r="U85" s="8"/>
      <c r="V85" s="8"/>
      <c r="W85" s="8"/>
      <c r="X85" s="78">
        <f t="shared" si="53"/>
        <v>0</v>
      </c>
      <c r="Y85" s="78">
        <f t="shared" si="53"/>
        <v>0.7</v>
      </c>
      <c r="Z85" s="78">
        <f t="shared" si="53"/>
        <v>0.30000000000000004</v>
      </c>
      <c r="AA85" s="78">
        <f t="shared" si="53"/>
        <v>0.11011600000000001</v>
      </c>
      <c r="AB85" s="78">
        <f t="shared" si="53"/>
        <v>8.64</v>
      </c>
      <c r="AC85" s="78">
        <f t="shared" si="53"/>
        <v>9665.6099682127333</v>
      </c>
      <c r="AD85" s="78">
        <f t="shared" si="53"/>
        <v>2.9397431718222178E-6</v>
      </c>
      <c r="AE85" s="78">
        <f t="shared" si="53"/>
        <v>32822800.517055739</v>
      </c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T85" t="s">
        <v>375</v>
      </c>
      <c r="BV85">
        <v>1</v>
      </c>
      <c r="BW85">
        <v>7.0000000000000007E-2</v>
      </c>
      <c r="BY85" s="6">
        <v>600</v>
      </c>
      <c r="BZ85" s="4">
        <f t="shared" si="31"/>
        <v>0.92999999999999994</v>
      </c>
      <c r="CA85" s="101">
        <v>3.0000000000000001E-3</v>
      </c>
      <c r="CB85" s="2">
        <v>101325</v>
      </c>
      <c r="CC85">
        <f t="shared" si="54"/>
        <v>2844</v>
      </c>
      <c r="CD85">
        <v>71</v>
      </c>
      <c r="CE85" s="13">
        <v>4.9E-9</v>
      </c>
      <c r="CF85" s="25">
        <f t="shared" ref="CF85:CF93" si="57">BZ85^3/(1-BZ85)^2/72*CE85^2/(10^-5)*CB85/CA85</f>
        <v>1.8488760084374963E-4</v>
      </c>
      <c r="CG85" s="102">
        <f t="shared" ref="CG85:CG93" si="58">BY85/CF85</f>
        <v>3245214.9157750499</v>
      </c>
      <c r="CH85" s="28">
        <f t="shared" ref="CH85:CH93" si="59">BX85*CF85/CA85</f>
        <v>0</v>
      </c>
      <c r="CI85" s="102">
        <f t="shared" ref="CI85:CI93" si="60">CF85*CB85*CA85/CD85/CC85</f>
        <v>2.783285219512232E-7</v>
      </c>
      <c r="CJ85" s="105">
        <f t="shared" si="11"/>
        <v>1.3252719622139012E-6</v>
      </c>
      <c r="CK85" t="s">
        <v>671</v>
      </c>
    </row>
    <row r="86" spans="16:89" x14ac:dyDescent="0.25">
      <c r="P86" s="8"/>
      <c r="Q86" s="8"/>
      <c r="R86" s="8"/>
      <c r="S86" s="8"/>
      <c r="T86" s="8"/>
      <c r="U86" s="8"/>
      <c r="V86" s="8"/>
      <c r="W86" s="8"/>
      <c r="X86" s="78">
        <f t="shared" si="53"/>
        <v>0</v>
      </c>
      <c r="Y86" s="78">
        <f t="shared" si="53"/>
        <v>0.9</v>
      </c>
      <c r="Z86" s="78">
        <f t="shared" si="53"/>
        <v>9.9999999999999978E-2</v>
      </c>
      <c r="AA86" s="78">
        <f t="shared" si="53"/>
        <v>6.3862000000000002E-2</v>
      </c>
      <c r="AB86" s="78">
        <f t="shared" si="53"/>
        <v>15.24</v>
      </c>
      <c r="AC86" s="78">
        <f t="shared" si="53"/>
        <v>891.30136798530555</v>
      </c>
      <c r="AD86" s="78">
        <f t="shared" si="53"/>
        <v>5.6232230175876344E-5</v>
      </c>
      <c r="AE86" s="78">
        <f t="shared" si="53"/>
        <v>1715930.586396907</v>
      </c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T86" t="s">
        <v>375</v>
      </c>
      <c r="BV86">
        <v>1.45</v>
      </c>
      <c r="BW86">
        <v>7.0000000000000007E-2</v>
      </c>
      <c r="BY86" s="6">
        <v>600</v>
      </c>
      <c r="BZ86" s="4">
        <f t="shared" si="31"/>
        <v>0.92999999999999994</v>
      </c>
      <c r="CA86" s="101">
        <v>3.0000000000000001E-3</v>
      </c>
      <c r="CB86" s="2">
        <v>101325</v>
      </c>
      <c r="CC86">
        <f t="shared" si="54"/>
        <v>2844</v>
      </c>
      <c r="CD86">
        <v>84</v>
      </c>
      <c r="CE86" s="13">
        <f>CE85</f>
        <v>4.9E-9</v>
      </c>
      <c r="CF86" s="25">
        <f t="shared" si="57"/>
        <v>1.8488760084374963E-4</v>
      </c>
      <c r="CG86" s="102">
        <f t="shared" si="58"/>
        <v>3245214.9157750499</v>
      </c>
      <c r="CH86" s="28">
        <f t="shared" si="59"/>
        <v>0</v>
      </c>
      <c r="CI86" s="102">
        <f t="shared" si="60"/>
        <v>2.3525386974448629E-7</v>
      </c>
      <c r="CJ86" s="105">
        <f t="shared" si="11"/>
        <v>1.1201703490141308E-6</v>
      </c>
      <c r="CK86" t="s">
        <v>671</v>
      </c>
    </row>
    <row r="87" spans="16:89" x14ac:dyDescent="0.25">
      <c r="P87" s="8"/>
      <c r="Q87" s="8"/>
      <c r="R87" s="8"/>
      <c r="S87" s="8"/>
      <c r="T87" s="8"/>
      <c r="U87" s="8"/>
      <c r="V87" s="8"/>
      <c r="W87" s="8"/>
      <c r="X87" s="99" t="str">
        <f>AN44</f>
        <v>4.89e5</v>
      </c>
      <c r="Y87" s="99">
        <f t="shared" ref="Y87:AE87" si="61">AO44</f>
        <v>0.1</v>
      </c>
      <c r="Z87" s="99">
        <f t="shared" si="61"/>
        <v>0.9</v>
      </c>
      <c r="AA87" s="99">
        <f t="shared" si="61"/>
        <v>0.84914999999999996</v>
      </c>
      <c r="AB87" s="99">
        <f t="shared" si="61"/>
        <v>0.89</v>
      </c>
      <c r="AC87" s="99">
        <f t="shared" si="61"/>
        <v>19209770.540340483</v>
      </c>
      <c r="AD87" s="99">
        <f t="shared" si="61"/>
        <v>1.5236764091077271E-10</v>
      </c>
      <c r="AE87" s="99">
        <f t="shared" si="61"/>
        <v>63327490747.594353</v>
      </c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T87" t="s">
        <v>375</v>
      </c>
      <c r="BV87">
        <v>2</v>
      </c>
      <c r="BW87">
        <v>7.0000000000000007E-2</v>
      </c>
      <c r="BY87" s="6">
        <v>620</v>
      </c>
      <c r="BZ87" s="4">
        <f t="shared" si="31"/>
        <v>0.92999999999999994</v>
      </c>
      <c r="CA87" s="101">
        <v>3.0000000000000001E-3</v>
      </c>
      <c r="CB87" s="2">
        <v>101325</v>
      </c>
      <c r="CC87">
        <f t="shared" si="54"/>
        <v>2844</v>
      </c>
      <c r="CD87">
        <v>97</v>
      </c>
      <c r="CE87" s="13">
        <f t="shared" ref="CE87:CE93" si="62">CE86</f>
        <v>4.9E-9</v>
      </c>
      <c r="CF87" s="25">
        <f t="shared" si="57"/>
        <v>1.8488760084374963E-4</v>
      </c>
      <c r="CG87" s="102">
        <f t="shared" si="58"/>
        <v>3353388.746300885</v>
      </c>
      <c r="CH87" s="28">
        <f t="shared" si="59"/>
        <v>0</v>
      </c>
      <c r="CI87" s="102">
        <f t="shared" si="60"/>
        <v>2.0372500060347268E-7</v>
      </c>
      <c r="CJ87" s="105">
        <f t="shared" si="11"/>
        <v>9.7004442595038127E-7</v>
      </c>
      <c r="CK87" t="s">
        <v>671</v>
      </c>
    </row>
    <row r="88" spans="16:89" x14ac:dyDescent="0.25">
      <c r="P88" s="8"/>
      <c r="Q88" s="8"/>
      <c r="R88" s="8"/>
      <c r="S88" s="8"/>
      <c r="T88" s="8"/>
      <c r="U88" s="8"/>
      <c r="V88" s="8"/>
      <c r="W88" s="8"/>
      <c r="X88" s="99" t="str">
        <f t="shared" ref="X88:X93" si="63">AN45</f>
        <v>4.89e5</v>
      </c>
      <c r="Y88" s="99">
        <f t="shared" ref="Y88:Y93" si="64">AO45</f>
        <v>0.3</v>
      </c>
      <c r="Z88" s="99">
        <f t="shared" ref="Z88:Z93" si="65">AP45</f>
        <v>0.7</v>
      </c>
      <c r="AA88" s="99">
        <f t="shared" ref="AA88:AA93" si="66">AQ45</f>
        <v>0.54454999999999998</v>
      </c>
      <c r="AB88" s="99">
        <f t="shared" ref="AB88:AB93" si="67">AR45</f>
        <v>1.1499999999999999</v>
      </c>
      <c r="AC88" s="99">
        <f t="shared" ref="AC88:AC93" si="68">AS45</f>
        <v>556131.26079447323</v>
      </c>
      <c r="AD88" s="99">
        <f t="shared" ref="AD88:AD93" si="69">AT45</f>
        <v>6.8005720545277493E-9</v>
      </c>
      <c r="AE88" s="99">
        <f t="shared" ref="AE88:AE93" si="70">AU45</f>
        <v>1418860103.6269431</v>
      </c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T88" t="s">
        <v>375</v>
      </c>
      <c r="BV88">
        <v>2.2999999999999998</v>
      </c>
      <c r="BW88">
        <v>7.0000000000000007E-2</v>
      </c>
      <c r="BY88" s="6">
        <v>600</v>
      </c>
      <c r="BZ88" s="4">
        <f t="shared" si="31"/>
        <v>0.92999999999999994</v>
      </c>
      <c r="CA88" s="101">
        <v>3.0000000000000001E-3</v>
      </c>
      <c r="CB88" s="2">
        <v>101325</v>
      </c>
      <c r="CC88">
        <f t="shared" si="54"/>
        <v>2844</v>
      </c>
      <c r="CD88">
        <v>103</v>
      </c>
      <c r="CE88" s="13">
        <f t="shared" si="62"/>
        <v>4.9E-9</v>
      </c>
      <c r="CF88" s="25">
        <f t="shared" si="57"/>
        <v>1.8488760084374963E-4</v>
      </c>
      <c r="CG88" s="102">
        <f t="shared" si="58"/>
        <v>3245214.9157750499</v>
      </c>
      <c r="CH88" s="28">
        <f t="shared" si="59"/>
        <v>0</v>
      </c>
      <c r="CI88" s="102">
        <f t="shared" si="60"/>
        <v>1.9185752484016358E-7</v>
      </c>
      <c r="CJ88" s="105">
        <f t="shared" si="11"/>
        <v>9.1353698366200953E-7</v>
      </c>
      <c r="CK88" t="s">
        <v>671</v>
      </c>
    </row>
    <row r="89" spans="16:89" x14ac:dyDescent="0.25">
      <c r="P89" s="8"/>
      <c r="Q89" s="8"/>
      <c r="R89" s="8"/>
      <c r="S89" s="8"/>
      <c r="T89" s="8"/>
      <c r="U89" s="8"/>
      <c r="V89" s="8"/>
      <c r="W89" s="8"/>
      <c r="X89" s="99">
        <f t="shared" si="63"/>
        <v>0</v>
      </c>
      <c r="Y89" s="99">
        <f t="shared" si="64"/>
        <v>0.5</v>
      </c>
      <c r="Z89" s="99">
        <f t="shared" si="65"/>
        <v>0.5</v>
      </c>
      <c r="AA89" s="99">
        <f t="shared" si="66"/>
        <v>0.65903</v>
      </c>
      <c r="AB89" s="99">
        <f t="shared" si="67"/>
        <v>1.56</v>
      </c>
      <c r="AC89" s="99">
        <f t="shared" si="68"/>
        <v>83138.415988156936</v>
      </c>
      <c r="AD89" s="99">
        <f t="shared" si="69"/>
        <v>6.170889456886292E-8</v>
      </c>
      <c r="AE89" s="99">
        <f t="shared" si="70"/>
        <v>156364174.68541825</v>
      </c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T89" t="s">
        <v>375</v>
      </c>
      <c r="BV89">
        <v>2.4</v>
      </c>
      <c r="BW89">
        <v>7.0000000000000007E-2</v>
      </c>
      <c r="BY89" s="6">
        <v>500</v>
      </c>
      <c r="BZ89" s="4">
        <f t="shared" si="31"/>
        <v>0.92999999999999994</v>
      </c>
      <c r="CA89" s="101">
        <v>3.0000000000000001E-3</v>
      </c>
      <c r="CB89" s="2">
        <v>101325</v>
      </c>
      <c r="CC89">
        <f t="shared" si="54"/>
        <v>2844</v>
      </c>
      <c r="CD89">
        <v>105</v>
      </c>
      <c r="CE89" s="13">
        <f t="shared" si="62"/>
        <v>4.9E-9</v>
      </c>
      <c r="CF89" s="25">
        <f t="shared" si="57"/>
        <v>1.8488760084374963E-4</v>
      </c>
      <c r="CG89" s="102">
        <f t="shared" si="58"/>
        <v>2704345.7631458752</v>
      </c>
      <c r="CH89" s="28">
        <f t="shared" si="59"/>
        <v>0</v>
      </c>
      <c r="CI89" s="102">
        <f t="shared" si="60"/>
        <v>1.8820309579558904E-7</v>
      </c>
      <c r="CJ89" s="105">
        <f t="shared" si="11"/>
        <v>8.9613627921130463E-7</v>
      </c>
      <c r="CK89" t="s">
        <v>671</v>
      </c>
    </row>
    <row r="90" spans="16:89" x14ac:dyDescent="0.25">
      <c r="P90" s="8"/>
      <c r="Q90" s="8"/>
      <c r="R90" s="8"/>
      <c r="S90" s="8"/>
      <c r="T90" s="8"/>
      <c r="U90" s="8"/>
      <c r="V90" s="8"/>
      <c r="W90" s="8"/>
      <c r="X90" s="99">
        <f t="shared" si="63"/>
        <v>0</v>
      </c>
      <c r="Y90" s="99">
        <f t="shared" si="64"/>
        <v>0.7</v>
      </c>
      <c r="Z90" s="99">
        <f t="shared" si="65"/>
        <v>0.30000000000000004</v>
      </c>
      <c r="AA90" s="99">
        <f t="shared" si="66"/>
        <v>0.63077799999999995</v>
      </c>
      <c r="AB90" s="99">
        <f t="shared" si="67"/>
        <v>2.08</v>
      </c>
      <c r="AC90" s="99">
        <f t="shared" si="68"/>
        <v>14543.163146616378</v>
      </c>
      <c r="AD90" s="99">
        <f t="shared" si="69"/>
        <v>4.7035890749155502E-7</v>
      </c>
      <c r="AE90" s="99">
        <f t="shared" si="70"/>
        <v>20514250.323159833</v>
      </c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T90" t="s">
        <v>375</v>
      </c>
      <c r="BV90">
        <v>2.5</v>
      </c>
      <c r="BW90">
        <v>7.0000000000000007E-2</v>
      </c>
      <c r="BY90" s="6">
        <v>780</v>
      </c>
      <c r="BZ90" s="4">
        <f t="shared" si="31"/>
        <v>0.92999999999999994</v>
      </c>
      <c r="CA90" s="101">
        <v>3.0000000000000001E-3</v>
      </c>
      <c r="CB90" s="2">
        <v>101325</v>
      </c>
      <c r="CC90">
        <f t="shared" si="54"/>
        <v>2844</v>
      </c>
      <c r="CD90">
        <v>107</v>
      </c>
      <c r="CE90" s="13">
        <f t="shared" si="62"/>
        <v>4.9E-9</v>
      </c>
      <c r="CF90" s="25">
        <f t="shared" si="57"/>
        <v>1.8488760084374963E-4</v>
      </c>
      <c r="CG90" s="102">
        <f t="shared" si="58"/>
        <v>4218779.3905075649</v>
      </c>
      <c r="CH90" s="28">
        <f t="shared" si="59"/>
        <v>0</v>
      </c>
      <c r="CI90" s="102">
        <f t="shared" si="60"/>
        <v>1.846852809209051E-7</v>
      </c>
      <c r="CJ90" s="105">
        <f t="shared" si="11"/>
        <v>8.7938606838492509E-7</v>
      </c>
      <c r="CK90" t="s">
        <v>671</v>
      </c>
    </row>
    <row r="91" spans="16:89" x14ac:dyDescent="0.25">
      <c r="P91" s="8"/>
      <c r="Q91" s="8"/>
      <c r="R91" s="8"/>
      <c r="S91" s="8"/>
      <c r="T91" s="8"/>
      <c r="U91" s="8"/>
      <c r="V91" s="8"/>
      <c r="W91" s="8"/>
      <c r="X91" s="99">
        <f t="shared" si="63"/>
        <v>0</v>
      </c>
      <c r="Y91" s="99">
        <f t="shared" si="64"/>
        <v>0.75</v>
      </c>
      <c r="Z91" s="99">
        <f t="shared" si="65"/>
        <v>0.25</v>
      </c>
      <c r="AA91" s="99">
        <f t="shared" si="66"/>
        <v>0.59178200000000003</v>
      </c>
      <c r="AB91" s="99">
        <f t="shared" si="67"/>
        <v>2.15</v>
      </c>
      <c r="AC91" s="99">
        <f t="shared" si="68"/>
        <v>8487.5400937577087</v>
      </c>
      <c r="AD91" s="99">
        <f t="shared" si="69"/>
        <v>8.3307007667964959E-7</v>
      </c>
      <c r="AE91" s="99">
        <f t="shared" si="70"/>
        <v>11582531.458179127</v>
      </c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T91" t="s">
        <v>375</v>
      </c>
      <c r="BV91">
        <v>2.6</v>
      </c>
      <c r="BW91">
        <v>7.0000000000000007E-2</v>
      </c>
      <c r="BY91" s="6">
        <v>600</v>
      </c>
      <c r="BZ91" s="4">
        <f t="shared" si="31"/>
        <v>0.92999999999999994</v>
      </c>
      <c r="CA91" s="101">
        <v>3.0000000000000001E-3</v>
      </c>
      <c r="CB91" s="2">
        <v>101325</v>
      </c>
      <c r="CC91">
        <f t="shared" si="54"/>
        <v>2844</v>
      </c>
      <c r="CD91">
        <v>109</v>
      </c>
      <c r="CE91" s="13">
        <f t="shared" si="62"/>
        <v>4.9E-9</v>
      </c>
      <c r="CF91" s="25">
        <f t="shared" si="57"/>
        <v>1.8488760084374963E-4</v>
      </c>
      <c r="CG91" s="102">
        <f t="shared" si="58"/>
        <v>3245214.9157750499</v>
      </c>
      <c r="CH91" s="28">
        <f t="shared" si="59"/>
        <v>0</v>
      </c>
      <c r="CI91" s="102">
        <f t="shared" si="60"/>
        <v>1.8129656017006283E-7</v>
      </c>
      <c r="CJ91" s="105">
        <f t="shared" si="11"/>
        <v>8.6325054419437608E-7</v>
      </c>
      <c r="CK91" t="s">
        <v>671</v>
      </c>
    </row>
    <row r="92" spans="16:89" x14ac:dyDescent="0.25">
      <c r="P92" s="8"/>
      <c r="Q92" s="8"/>
      <c r="R92" s="8"/>
      <c r="S92" s="8"/>
      <c r="T92" s="8"/>
      <c r="U92" s="8"/>
      <c r="V92" s="8"/>
      <c r="W92" s="8"/>
      <c r="X92" s="99">
        <f t="shared" si="63"/>
        <v>0</v>
      </c>
      <c r="Y92" s="99">
        <f t="shared" si="64"/>
        <v>0.8</v>
      </c>
      <c r="Z92" s="99">
        <f t="shared" si="65"/>
        <v>0.19999999999999996</v>
      </c>
      <c r="AA92" s="99">
        <f t="shared" si="66"/>
        <v>0.613035</v>
      </c>
      <c r="AB92" s="99">
        <f t="shared" si="67"/>
        <v>3.31</v>
      </c>
      <c r="AC92" s="99">
        <f t="shared" si="68"/>
        <v>6890.7290895632814</v>
      </c>
      <c r="AD92" s="99">
        <f t="shared" si="69"/>
        <v>1.5797477009628917E-6</v>
      </c>
      <c r="AE92" s="99">
        <f t="shared" si="70"/>
        <v>6107975.5736491447</v>
      </c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T92" t="s">
        <v>375</v>
      </c>
      <c r="BV92">
        <v>3</v>
      </c>
      <c r="BW92">
        <v>7.0000000000000007E-2</v>
      </c>
      <c r="BY92" s="6">
        <v>500</v>
      </c>
      <c r="BZ92" s="4">
        <f t="shared" si="31"/>
        <v>0.92999999999999994</v>
      </c>
      <c r="CA92" s="101">
        <v>3.0000000000000001E-3</v>
      </c>
      <c r="CB92" s="2">
        <v>101325</v>
      </c>
      <c r="CC92">
        <f t="shared" si="54"/>
        <v>2844</v>
      </c>
      <c r="CD92">
        <v>116</v>
      </c>
      <c r="CE92" s="13">
        <f t="shared" si="62"/>
        <v>4.9E-9</v>
      </c>
      <c r="CF92" s="25">
        <f t="shared" si="57"/>
        <v>1.8488760084374963E-4</v>
      </c>
      <c r="CG92" s="102">
        <f t="shared" si="58"/>
        <v>2704345.7631458752</v>
      </c>
      <c r="CH92" s="28">
        <f t="shared" si="59"/>
        <v>0</v>
      </c>
      <c r="CI92" s="102">
        <f t="shared" si="60"/>
        <v>1.7035625050462801E-7</v>
      </c>
      <c r="CJ92" s="105">
        <f t="shared" si="11"/>
        <v>8.1115783894126717E-7</v>
      </c>
      <c r="CK92" t="s">
        <v>671</v>
      </c>
    </row>
    <row r="93" spans="16:89" x14ac:dyDescent="0.25">
      <c r="P93" s="8"/>
      <c r="Q93" s="8"/>
      <c r="R93" s="8"/>
      <c r="S93" s="8"/>
      <c r="T93" s="8"/>
      <c r="U93" s="8"/>
      <c r="V93" s="8"/>
      <c r="W93" s="8"/>
      <c r="X93" s="99">
        <f t="shared" si="63"/>
        <v>0</v>
      </c>
      <c r="Y93" s="99">
        <f t="shared" si="64"/>
        <v>0.85</v>
      </c>
      <c r="Z93" s="99">
        <f t="shared" si="65"/>
        <v>0.15000000000000002</v>
      </c>
      <c r="AA93" s="99">
        <f t="shared" si="66"/>
        <v>3.1891449999999999</v>
      </c>
      <c r="AB93" s="99">
        <f t="shared" si="67"/>
        <v>0.06</v>
      </c>
      <c r="AC93" s="99">
        <f t="shared" si="68"/>
        <v>58.57659771512099</v>
      </c>
      <c r="AD93" s="99">
        <f t="shared" si="69"/>
        <v>3.3686199890758164E-6</v>
      </c>
      <c r="AE93" s="99">
        <f t="shared" si="70"/>
        <v>2864395.6282694167</v>
      </c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T93" t="s">
        <v>375</v>
      </c>
      <c r="BV93">
        <v>3.5</v>
      </c>
      <c r="BW93">
        <v>7.0000000000000007E-2</v>
      </c>
      <c r="BY93" s="6">
        <v>450</v>
      </c>
      <c r="BZ93" s="4">
        <f t="shared" si="31"/>
        <v>0.92999999999999994</v>
      </c>
      <c r="CA93" s="101">
        <v>3.0000000000000001E-3</v>
      </c>
      <c r="CB93" s="2">
        <v>101325</v>
      </c>
      <c r="CC93">
        <f t="shared" si="54"/>
        <v>2844</v>
      </c>
      <c r="CD93">
        <v>124</v>
      </c>
      <c r="CE93" s="13">
        <f t="shared" si="62"/>
        <v>4.9E-9</v>
      </c>
      <c r="CF93" s="25">
        <f t="shared" si="57"/>
        <v>1.8488760084374963E-4</v>
      </c>
      <c r="CG93" s="102">
        <f t="shared" si="58"/>
        <v>2433911.1868312876</v>
      </c>
      <c r="CH93" s="28">
        <f t="shared" si="59"/>
        <v>0</v>
      </c>
      <c r="CI93" s="102">
        <f t="shared" si="60"/>
        <v>1.5936552466561974E-7</v>
      </c>
      <c r="CJ93" s="105">
        <f t="shared" si="11"/>
        <v>7.5882507513860471E-7</v>
      </c>
      <c r="CK93" t="s">
        <v>671</v>
      </c>
    </row>
    <row r="94" spans="16:89" x14ac:dyDescent="0.25">
      <c r="P94" s="8"/>
      <c r="Q94" s="8"/>
      <c r="R94" s="8"/>
      <c r="S94" s="8"/>
      <c r="T94" s="8"/>
      <c r="U94" s="8"/>
      <c r="V94" s="8"/>
      <c r="W94" s="8"/>
      <c r="X94" s="99" t="str">
        <f t="shared" ref="X94:AE98" si="71">AN52</f>
        <v>2.44e6</v>
      </c>
      <c r="Y94" s="99">
        <f t="shared" si="71"/>
        <v>0.1</v>
      </c>
      <c r="Z94" s="99">
        <f t="shared" si="71"/>
        <v>0.9</v>
      </c>
      <c r="AA94" s="99">
        <f t="shared" si="71"/>
        <v>0.34653</v>
      </c>
      <c r="AB94" s="99">
        <f t="shared" si="71"/>
        <v>1.98</v>
      </c>
      <c r="AC94" s="99">
        <f t="shared" si="71"/>
        <v>42736343.449296802</v>
      </c>
      <c r="AD94" s="99">
        <f t="shared" si="71"/>
        <v>1.5236764091077271E-10</v>
      </c>
      <c r="AE94" s="99">
        <f t="shared" si="71"/>
        <v>315989933382.67938</v>
      </c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Y94" s="6"/>
      <c r="BZ94" s="4"/>
      <c r="CA94" s="25"/>
      <c r="CB94" s="25"/>
      <c r="CC94" s="21"/>
      <c r="CD94" s="21"/>
      <c r="CE94" s="25"/>
    </row>
    <row r="95" spans="16:89" x14ac:dyDescent="0.25">
      <c r="P95" s="8"/>
      <c r="Q95" s="8"/>
      <c r="R95" s="8"/>
      <c r="S95" s="8"/>
      <c r="T95" s="8"/>
      <c r="U95" s="8"/>
      <c r="V95" s="8"/>
      <c r="W95" s="8"/>
      <c r="X95" s="99" t="str">
        <f t="shared" si="71"/>
        <v>2.44e6</v>
      </c>
      <c r="Y95" s="99">
        <f t="shared" si="71"/>
        <v>0.3</v>
      </c>
      <c r="Z95" s="99">
        <f t="shared" si="71"/>
        <v>0.7</v>
      </c>
      <c r="AA95" s="99">
        <f t="shared" si="71"/>
        <v>0.30757000000000001</v>
      </c>
      <c r="AB95" s="99">
        <f t="shared" si="71"/>
        <v>2.66</v>
      </c>
      <c r="AC95" s="99">
        <f t="shared" si="71"/>
        <v>1286355.7858376515</v>
      </c>
      <c r="AD95" s="99">
        <f t="shared" si="71"/>
        <v>6.8005720545277493E-9</v>
      </c>
      <c r="AE95" s="99">
        <f t="shared" si="71"/>
        <v>7079792746.1139908</v>
      </c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</row>
    <row r="96" spans="16:89" x14ac:dyDescent="0.25">
      <c r="P96" s="8"/>
      <c r="Q96" s="8"/>
      <c r="R96" s="8"/>
      <c r="S96" s="8"/>
      <c r="T96" s="8"/>
      <c r="U96" s="8"/>
      <c r="V96" s="8"/>
      <c r="W96" s="8"/>
      <c r="X96" s="99">
        <f t="shared" si="71"/>
        <v>0</v>
      </c>
      <c r="Y96" s="99">
        <f t="shared" si="71"/>
        <v>0.5</v>
      </c>
      <c r="Z96" s="99">
        <f t="shared" si="71"/>
        <v>0.5</v>
      </c>
      <c r="AA96" s="99">
        <f t="shared" si="71"/>
        <v>0.19767000000000001</v>
      </c>
      <c r="AB96" s="99">
        <f t="shared" si="71"/>
        <v>3.57</v>
      </c>
      <c r="AC96" s="99">
        <f t="shared" si="71"/>
        <v>190259.06735751298</v>
      </c>
      <c r="AD96" s="99">
        <f t="shared" si="71"/>
        <v>6.170889456886292E-8</v>
      </c>
      <c r="AE96" s="99">
        <f t="shared" si="71"/>
        <v>780222057.73501134</v>
      </c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</row>
    <row r="97" spans="16:78" x14ac:dyDescent="0.25">
      <c r="P97" s="8"/>
      <c r="Q97" s="8"/>
      <c r="R97" s="8"/>
      <c r="S97" s="8"/>
      <c r="T97" s="8"/>
      <c r="U97" s="8"/>
      <c r="V97" s="8"/>
      <c r="W97" s="8"/>
      <c r="X97" s="99">
        <f t="shared" si="71"/>
        <v>0</v>
      </c>
      <c r="Y97" s="99">
        <f t="shared" si="71"/>
        <v>0.7</v>
      </c>
      <c r="Z97" s="99">
        <f t="shared" si="71"/>
        <v>0.30000000000000004</v>
      </c>
      <c r="AA97" s="99">
        <f t="shared" si="71"/>
        <v>0.154255</v>
      </c>
      <c r="AB97" s="99">
        <f t="shared" si="71"/>
        <v>5.01</v>
      </c>
      <c r="AC97" s="99">
        <f t="shared" si="71"/>
        <v>35029.445848340409</v>
      </c>
      <c r="AD97" s="99">
        <f t="shared" si="71"/>
        <v>4.7035890749155502E-7</v>
      </c>
      <c r="AE97" s="99">
        <f t="shared" si="71"/>
        <v>102361494.45503066</v>
      </c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</row>
    <row r="98" spans="16:78" x14ac:dyDescent="0.25">
      <c r="P98" s="8"/>
      <c r="Q98" s="8"/>
      <c r="R98" s="8"/>
      <c r="S98" s="8"/>
      <c r="T98" s="8"/>
      <c r="U98" s="8"/>
      <c r="V98" s="8"/>
      <c r="W98" s="8"/>
      <c r="X98" s="99">
        <f t="shared" si="71"/>
        <v>0</v>
      </c>
      <c r="Y98" s="99">
        <f t="shared" si="71"/>
        <v>0.9</v>
      </c>
      <c r="Z98" s="99">
        <f t="shared" si="71"/>
        <v>9.9999999999999978E-2</v>
      </c>
      <c r="AA98" s="99">
        <f t="shared" si="71"/>
        <v>0.12922</v>
      </c>
      <c r="AB98" s="99">
        <f t="shared" si="71"/>
        <v>8.83</v>
      </c>
      <c r="AC98" s="99">
        <f t="shared" si="71"/>
        <v>3227.6046092971815</v>
      </c>
      <c r="AD98" s="99">
        <f t="shared" si="71"/>
        <v>8.9971568281402184E-6</v>
      </c>
      <c r="AE98" s="99">
        <f t="shared" si="71"/>
        <v>5351317.2684157118</v>
      </c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T98" t="s">
        <v>374</v>
      </c>
      <c r="BV98">
        <v>1.2</v>
      </c>
      <c r="BW98">
        <v>7.0000000000000007E-2</v>
      </c>
      <c r="BY98" s="3">
        <v>134</v>
      </c>
      <c r="BZ98">
        <f>1-BW98</f>
        <v>0.92999999999999994</v>
      </c>
    </row>
    <row r="99" spans="16:78" x14ac:dyDescent="0.25">
      <c r="P99" s="8"/>
      <c r="Q99" s="8"/>
      <c r="R99" s="8"/>
      <c r="S99" s="8"/>
      <c r="T99" s="8"/>
      <c r="U99" s="8"/>
      <c r="V99" s="8"/>
      <c r="W99" s="8"/>
      <c r="X99" s="99" t="str">
        <f t="shared" ref="X99:AE104" si="72">AV44</f>
        <v>70 kJ/mol</v>
      </c>
      <c r="Y99" s="99">
        <f t="shared" si="72"/>
        <v>0.1</v>
      </c>
      <c r="Z99" s="99">
        <f t="shared" si="72"/>
        <v>0.9</v>
      </c>
      <c r="AA99" s="99">
        <f t="shared" si="72"/>
        <v>0.91620000000000001</v>
      </c>
      <c r="AB99" s="99">
        <f t="shared" si="72"/>
        <v>1.36</v>
      </c>
      <c r="AC99" s="99">
        <f t="shared" si="72"/>
        <v>29354256.106587708</v>
      </c>
      <c r="AD99" s="99">
        <f t="shared" si="72"/>
        <v>1.5236764091077271E-10</v>
      </c>
      <c r="AE99" s="99">
        <f t="shared" si="72"/>
        <v>633274907475.9436</v>
      </c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T99" t="s">
        <v>375</v>
      </c>
      <c r="BW99">
        <v>7.0000000000000007E-2</v>
      </c>
      <c r="BY99" s="3">
        <v>583</v>
      </c>
      <c r="BZ99">
        <f>1-BW99</f>
        <v>0.92999999999999994</v>
      </c>
    </row>
    <row r="100" spans="16:78" x14ac:dyDescent="0.25">
      <c r="P100" s="8"/>
      <c r="Q100" s="8"/>
      <c r="R100" s="8"/>
      <c r="S100" s="8"/>
      <c r="T100" s="8"/>
      <c r="U100" s="8"/>
      <c r="V100" s="8"/>
      <c r="W100" s="8"/>
      <c r="X100" s="99">
        <f t="shared" si="72"/>
        <v>0</v>
      </c>
      <c r="Y100" s="99">
        <f t="shared" si="72"/>
        <v>0.3</v>
      </c>
      <c r="Z100" s="99">
        <f t="shared" si="72"/>
        <v>0.7</v>
      </c>
      <c r="AA100" s="99">
        <f t="shared" si="72"/>
        <v>0.64676999999999996</v>
      </c>
      <c r="AB100" s="99">
        <f t="shared" si="72"/>
        <v>1.79</v>
      </c>
      <c r="AC100" s="99">
        <f t="shared" si="72"/>
        <v>865630.39723661495</v>
      </c>
      <c r="AD100" s="99">
        <f t="shared" si="72"/>
        <v>6.8005720545277493E-9</v>
      </c>
      <c r="AE100" s="99">
        <f t="shared" si="72"/>
        <v>14188601036.269432</v>
      </c>
      <c r="AF100" s="8"/>
      <c r="AG100" s="8"/>
      <c r="AH100" s="8"/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 s="8"/>
      <c r="BK100" s="8"/>
    </row>
    <row r="101" spans="16:78" x14ac:dyDescent="0.25">
      <c r="P101" s="8"/>
      <c r="Q101" s="8"/>
      <c r="R101" s="8"/>
      <c r="S101" s="8"/>
      <c r="T101" s="8"/>
      <c r="U101" s="8"/>
      <c r="V101" s="8"/>
      <c r="W101" s="8"/>
      <c r="X101" s="99">
        <f t="shared" si="72"/>
        <v>0</v>
      </c>
      <c r="Y101" s="99">
        <f t="shared" si="72"/>
        <v>0.5</v>
      </c>
      <c r="Z101" s="99">
        <f t="shared" si="72"/>
        <v>0.5</v>
      </c>
      <c r="AA101" s="99">
        <f t="shared" si="72"/>
        <v>0.53386</v>
      </c>
      <c r="AB101" s="99">
        <f t="shared" si="72"/>
        <v>2.4500000000000002</v>
      </c>
      <c r="AC101" s="99">
        <f t="shared" si="72"/>
        <v>130569.94818652852</v>
      </c>
      <c r="AD101" s="99">
        <f t="shared" si="72"/>
        <v>6.170889456886292E-8</v>
      </c>
      <c r="AE101" s="99">
        <f t="shared" si="72"/>
        <v>1563641746.8541825</v>
      </c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 s="8"/>
      <c r="BK101" s="8"/>
    </row>
    <row r="102" spans="16:78" x14ac:dyDescent="0.25">
      <c r="P102" s="8"/>
      <c r="Q102" s="8"/>
      <c r="R102" s="8"/>
      <c r="S102" s="8"/>
      <c r="T102" s="8"/>
      <c r="U102" s="8"/>
      <c r="V102" s="8"/>
      <c r="W102" s="8"/>
      <c r="X102" s="99">
        <f t="shared" si="72"/>
        <v>0</v>
      </c>
      <c r="Y102" s="99">
        <f t="shared" si="72"/>
        <v>0.7</v>
      </c>
      <c r="Z102" s="99">
        <f t="shared" si="72"/>
        <v>0.30000000000000004</v>
      </c>
      <c r="AA102" s="99">
        <f t="shared" si="72"/>
        <v>0.46990799999999999</v>
      </c>
      <c r="AB102" s="99">
        <f t="shared" si="72"/>
        <v>3.28</v>
      </c>
      <c r="AC102" s="99">
        <f t="shared" si="72"/>
        <v>22933.449577356594</v>
      </c>
      <c r="AD102" s="99">
        <f t="shared" si="72"/>
        <v>4.7035890749155502E-7</v>
      </c>
      <c r="AE102" s="99">
        <f t="shared" si="72"/>
        <v>205142503.23159835</v>
      </c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 s="8"/>
      <c r="BK102" s="8"/>
    </row>
    <row r="103" spans="16:78" x14ac:dyDescent="0.25">
      <c r="P103" s="8"/>
      <c r="Q103" s="8"/>
      <c r="R103" s="8"/>
      <c r="S103" s="8"/>
      <c r="T103" s="8"/>
      <c r="U103" s="8"/>
      <c r="V103" s="8"/>
      <c r="W103" s="8"/>
      <c r="X103" s="99">
        <f t="shared" si="72"/>
        <v>0</v>
      </c>
      <c r="Y103" s="99">
        <f t="shared" si="72"/>
        <v>0.75</v>
      </c>
      <c r="Z103" s="99">
        <f t="shared" si="72"/>
        <v>0.25</v>
      </c>
      <c r="AA103" s="99">
        <f t="shared" si="72"/>
        <v>0.58612600000000004</v>
      </c>
      <c r="AB103" s="99">
        <f t="shared" si="72"/>
        <v>3.95</v>
      </c>
      <c r="AC103" s="99">
        <f t="shared" si="72"/>
        <v>15593.387614113002</v>
      </c>
      <c r="AD103" s="99">
        <f t="shared" si="72"/>
        <v>8.3307007667964959E-7</v>
      </c>
      <c r="AE103" s="99">
        <f t="shared" si="72"/>
        <v>115825314.58179127</v>
      </c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 s="8"/>
      <c r="BK103" s="8"/>
    </row>
    <row r="104" spans="16:78" x14ac:dyDescent="0.25">
      <c r="P104" s="8"/>
      <c r="Q104" s="8"/>
      <c r="R104" s="8"/>
      <c r="S104" s="8"/>
      <c r="T104" s="8"/>
      <c r="U104" s="8"/>
      <c r="V104" s="8"/>
      <c r="W104" s="8"/>
      <c r="X104" s="99">
        <f t="shared" si="72"/>
        <v>0</v>
      </c>
      <c r="Y104" s="99">
        <f t="shared" si="72"/>
        <v>0.8</v>
      </c>
      <c r="Z104" s="99">
        <f t="shared" si="72"/>
        <v>0.19999999999999996</v>
      </c>
      <c r="AA104" s="99">
        <f t="shared" si="72"/>
        <v>0.88736400000000004</v>
      </c>
      <c r="AB104" s="99">
        <f t="shared" si="72"/>
        <v>4.24</v>
      </c>
      <c r="AC104" s="99">
        <f t="shared" si="72"/>
        <v>8826.7949666913337</v>
      </c>
      <c r="AD104" s="99">
        <f t="shared" si="72"/>
        <v>1.5797477009628917E-6</v>
      </c>
      <c r="AE104" s="99">
        <f t="shared" si="72"/>
        <v>61079755.736491449</v>
      </c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  <c r="BI104" s="8"/>
      <c r="BJ104" s="8"/>
      <c r="BK104" s="8"/>
    </row>
    <row r="105" spans="16:78" x14ac:dyDescent="0.25">
      <c r="P105" s="8"/>
      <c r="Q105" s="8"/>
      <c r="R105" s="8"/>
      <c r="S105" s="8"/>
      <c r="T105" s="8"/>
      <c r="U105" s="8"/>
      <c r="V105" s="8"/>
      <c r="W105" s="8"/>
      <c r="X105" s="99" t="str">
        <f t="shared" ref="X105:AE107" si="73">AV54</f>
        <v>80 kJ/mol</v>
      </c>
      <c r="Y105" s="99">
        <f t="shared" si="73"/>
        <v>0.1</v>
      </c>
      <c r="Z105" s="99">
        <f t="shared" si="73"/>
        <v>0.9</v>
      </c>
      <c r="AA105" s="99">
        <f t="shared" si="73"/>
        <v>1.3071299999999999</v>
      </c>
      <c r="AB105" s="99">
        <f t="shared" si="73"/>
        <v>0.97</v>
      </c>
      <c r="AC105" s="99">
        <f t="shared" si="73"/>
        <v>20936491.487786818</v>
      </c>
      <c r="AD105" s="99">
        <f t="shared" si="73"/>
        <v>1.5236764091077271E-10</v>
      </c>
      <c r="AE105" s="99">
        <f t="shared" si="73"/>
        <v>633274907475.9436</v>
      </c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 s="8"/>
      <c r="BK105" s="8"/>
    </row>
    <row r="106" spans="16:78" x14ac:dyDescent="0.25">
      <c r="P106" s="8"/>
      <c r="Q106" s="8"/>
      <c r="R106" s="8"/>
      <c r="S106" s="8"/>
      <c r="T106" s="8"/>
      <c r="U106" s="8"/>
      <c r="V106" s="8"/>
      <c r="W106" s="8"/>
      <c r="X106" s="99">
        <f t="shared" si="73"/>
        <v>0</v>
      </c>
      <c r="Y106" s="99">
        <f t="shared" si="73"/>
        <v>0.3</v>
      </c>
      <c r="Z106" s="99">
        <f t="shared" si="73"/>
        <v>0.7</v>
      </c>
      <c r="AA106" s="99">
        <f t="shared" si="73"/>
        <v>1.2837099999999999</v>
      </c>
      <c r="AB106" s="99">
        <f t="shared" si="73"/>
        <v>1.28</v>
      </c>
      <c r="AC106" s="99">
        <f t="shared" si="73"/>
        <v>618998.27288428333</v>
      </c>
      <c r="AD106" s="99">
        <f t="shared" si="73"/>
        <v>6.8005720545277493E-9</v>
      </c>
      <c r="AE106" s="99">
        <f t="shared" si="73"/>
        <v>14188601036.269432</v>
      </c>
      <c r="AF106" s="8"/>
      <c r="AG106" s="8"/>
      <c r="AH106" s="8"/>
      <c r="AI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 s="8"/>
      <c r="BK106" s="8"/>
    </row>
    <row r="107" spans="16:78" x14ac:dyDescent="0.25">
      <c r="P107" s="8"/>
      <c r="Q107" s="8"/>
      <c r="R107" s="8"/>
      <c r="S107" s="8"/>
      <c r="T107" s="8"/>
      <c r="U107" s="8"/>
      <c r="V107" s="8"/>
      <c r="W107" s="8"/>
      <c r="X107" s="99">
        <f t="shared" si="73"/>
        <v>0</v>
      </c>
      <c r="Y107" s="99">
        <f t="shared" si="73"/>
        <v>0.5</v>
      </c>
      <c r="Z107" s="99">
        <f t="shared" si="73"/>
        <v>0.5</v>
      </c>
      <c r="AA107" s="99">
        <f t="shared" si="73"/>
        <v>1.43377</v>
      </c>
      <c r="AB107" s="99">
        <f t="shared" si="73"/>
        <v>2.65</v>
      </c>
      <c r="AC107" s="99">
        <f t="shared" si="73"/>
        <v>141228.71946706146</v>
      </c>
      <c r="AD107" s="99">
        <f t="shared" si="73"/>
        <v>6.170889456886292E-8</v>
      </c>
      <c r="AE107" s="99">
        <f t="shared" si="73"/>
        <v>1563641746.8541825</v>
      </c>
      <c r="AF107" s="8"/>
      <c r="AG107" s="8"/>
      <c r="AH107" s="8"/>
      <c r="AI107" s="8"/>
      <c r="AJ107" s="8"/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 s="8"/>
      <c r="BK107" s="8"/>
    </row>
    <row r="108" spans="16:78" x14ac:dyDescent="0.25">
      <c r="P108" s="8"/>
      <c r="Q108" s="8"/>
      <c r="R108" s="8"/>
      <c r="S108" s="8"/>
      <c r="T108" s="8"/>
      <c r="U108" s="8"/>
      <c r="V108" s="8"/>
      <c r="W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 s="8"/>
      <c r="BK108" s="8"/>
    </row>
    <row r="109" spans="16:78" x14ac:dyDescent="0.25">
      <c r="P109" s="8"/>
      <c r="Q109" s="8"/>
      <c r="R109" s="8"/>
      <c r="S109" s="8"/>
      <c r="T109" s="8"/>
      <c r="U109" s="8"/>
      <c r="V109" s="8"/>
      <c r="W109" s="8"/>
      <c r="X109" s="99"/>
      <c r="Y109" s="99"/>
      <c r="Z109" s="99"/>
      <c r="AA109" s="99"/>
      <c r="AB109" s="99"/>
      <c r="AC109" s="99"/>
      <c r="AD109" s="99"/>
      <c r="AE109" s="99"/>
      <c r="AF109" s="8"/>
      <c r="AG109" s="8"/>
      <c r="AH109" s="8"/>
      <c r="AI109" s="8"/>
      <c r="AJ109" s="8"/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 s="8"/>
      <c r="BK109" s="8"/>
    </row>
    <row r="110" spans="16:78" x14ac:dyDescent="0.25">
      <c r="P110" s="8"/>
      <c r="Q110" s="8"/>
      <c r="R110" s="8"/>
      <c r="S110" s="8"/>
      <c r="T110" s="8"/>
      <c r="U110" s="8"/>
      <c r="V110" s="8"/>
      <c r="W110" s="8"/>
      <c r="AF110" s="8"/>
      <c r="AG110" s="8"/>
      <c r="AH110" s="8"/>
      <c r="AI110" s="8"/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 s="8"/>
      <c r="BK110" s="8"/>
    </row>
    <row r="111" spans="16:78" x14ac:dyDescent="0.25">
      <c r="P111" s="8"/>
      <c r="Q111" s="8"/>
      <c r="R111" s="8"/>
      <c r="S111" s="8"/>
      <c r="T111" s="8"/>
      <c r="U111" s="8"/>
      <c r="V111" s="8"/>
      <c r="W111" s="8"/>
      <c r="AF111" s="8"/>
      <c r="AG111" s="8"/>
      <c r="AH111" s="8"/>
      <c r="AI111" s="8"/>
      <c r="AJ111" s="8"/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 s="8"/>
      <c r="BK111" s="8"/>
    </row>
    <row r="112" spans="16:78" x14ac:dyDescent="0.25">
      <c r="P112" s="8"/>
      <c r="Q112" s="8"/>
      <c r="R112" s="8"/>
      <c r="S112" s="8"/>
      <c r="T112" s="8"/>
      <c r="U112" s="8"/>
      <c r="V112" s="8"/>
      <c r="W112" s="8"/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 s="8"/>
      <c r="BK112" s="8"/>
    </row>
    <row r="113" spans="1:63" x14ac:dyDescent="0.25">
      <c r="P113" s="8"/>
      <c r="Q113" s="8"/>
      <c r="R113" s="8"/>
      <c r="S113" s="8"/>
      <c r="T113" s="8"/>
      <c r="U113" s="8"/>
      <c r="V113" s="8"/>
      <c r="W113" s="8"/>
      <c r="X113" s="99"/>
      <c r="Y113" s="99"/>
      <c r="Z113" s="99"/>
      <c r="AA113" s="99"/>
      <c r="AB113" s="99"/>
      <c r="AC113" s="99"/>
      <c r="AD113" s="99"/>
      <c r="AE113" s="99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/>
      <c r="BD113" s="8"/>
      <c r="BE113" s="8"/>
      <c r="BF113" s="8"/>
      <c r="BG113" s="8"/>
      <c r="BH113" s="8"/>
      <c r="BI113" s="8"/>
      <c r="BJ113" s="8"/>
      <c r="BK113" s="8"/>
    </row>
    <row r="114" spans="1:63" x14ac:dyDescent="0.25">
      <c r="P114" s="8"/>
      <c r="Q114" s="8"/>
      <c r="R114" s="8"/>
      <c r="S114" s="8"/>
      <c r="T114" s="8"/>
      <c r="U114" s="8"/>
      <c r="V114" s="8"/>
      <c r="W114" s="8"/>
      <c r="X114" s="99"/>
      <c r="Y114" s="99"/>
      <c r="Z114" s="99"/>
      <c r="AA114" s="99"/>
      <c r="AB114" s="99"/>
      <c r="AC114" s="99"/>
      <c r="AD114" s="99"/>
      <c r="AE114" s="99"/>
      <c r="AF114" s="8"/>
      <c r="AG114" s="8"/>
      <c r="AH114" s="8"/>
      <c r="AI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 s="8"/>
      <c r="BK114" s="8"/>
    </row>
    <row r="115" spans="1:63" x14ac:dyDescent="0.25">
      <c r="P115" s="8"/>
      <c r="Q115" s="8"/>
      <c r="R115" s="8"/>
      <c r="S115" s="8"/>
      <c r="T115" s="8"/>
      <c r="U115" s="8"/>
      <c r="V115" s="8"/>
      <c r="W115" s="8"/>
      <c r="X115" s="99"/>
      <c r="Y115" s="99"/>
      <c r="Z115" s="99"/>
      <c r="AA115" s="99"/>
      <c r="AB115" s="99"/>
      <c r="AC115" s="99"/>
      <c r="AD115" s="99"/>
      <c r="AE115" s="99"/>
      <c r="AF115" s="8"/>
      <c r="AG115" s="8"/>
      <c r="AH115" s="8"/>
      <c r="AI115" s="8"/>
      <c r="AJ115" s="8"/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8"/>
      <c r="BA115" s="8"/>
      <c r="BB115" s="8"/>
      <c r="BC115" s="8"/>
      <c r="BD115" s="8"/>
      <c r="BE115" s="8"/>
      <c r="BF115" s="8"/>
      <c r="BG115" s="8"/>
      <c r="BH115" s="8"/>
      <c r="BI115" s="8"/>
      <c r="BJ115" s="8"/>
      <c r="BK115" s="8"/>
    </row>
    <row r="116" spans="1:63" x14ac:dyDescent="0.25">
      <c r="P116" s="8"/>
      <c r="Q116" s="8"/>
      <c r="R116" s="8"/>
      <c r="S116" s="8"/>
      <c r="T116" s="8"/>
      <c r="U116" s="8"/>
      <c r="V116" s="8"/>
      <c r="W116" s="8"/>
      <c r="X116" s="99"/>
      <c r="Y116" s="99"/>
      <c r="Z116" s="99"/>
      <c r="AA116" s="99"/>
      <c r="AB116" s="99"/>
      <c r="AC116" s="99"/>
      <c r="AD116" s="99"/>
      <c r="AE116" s="99"/>
      <c r="AF116" s="8"/>
      <c r="AG116" s="8"/>
      <c r="AH116" s="8"/>
      <c r="AI116" s="8"/>
      <c r="AJ116" s="8"/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  <c r="BA116" s="8"/>
      <c r="BB116" s="8"/>
      <c r="BC116" s="8"/>
      <c r="BD116" s="8"/>
      <c r="BE116" s="8"/>
      <c r="BF116" s="8"/>
      <c r="BG116" s="8"/>
      <c r="BH116" s="8"/>
      <c r="BI116" s="8"/>
      <c r="BJ116" s="8"/>
      <c r="BK116" s="8"/>
    </row>
    <row r="117" spans="1:63" x14ac:dyDescent="0.25"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 s="8"/>
      <c r="BK117" s="8"/>
    </row>
    <row r="118" spans="1:63" x14ac:dyDescent="0.25"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 s="8"/>
      <c r="BK118" s="8"/>
    </row>
    <row r="119" spans="1:63" x14ac:dyDescent="0.25"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  <c r="BA119" s="8"/>
      <c r="BB119" s="8"/>
      <c r="BC119" s="8"/>
      <c r="BD119" s="8"/>
      <c r="BE119" s="8"/>
      <c r="BF119" s="8"/>
      <c r="BG119" s="8"/>
      <c r="BH119" s="8"/>
      <c r="BI119" s="8"/>
      <c r="BJ119" s="8"/>
      <c r="BK119" s="8"/>
    </row>
    <row r="120" spans="1:63" x14ac:dyDescent="0.25"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  <c r="BD120" s="8"/>
      <c r="BE120" s="8"/>
      <c r="BF120" s="8"/>
      <c r="BG120" s="8"/>
      <c r="BH120" s="8"/>
      <c r="BI120" s="8"/>
      <c r="BJ120" s="8"/>
      <c r="BK120" s="8"/>
    </row>
    <row r="121" spans="1:63" x14ac:dyDescent="0.25"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 s="8"/>
      <c r="BK121" s="8"/>
    </row>
    <row r="128" spans="1:63" x14ac:dyDescent="0.25">
      <c r="A128" s="29" t="s">
        <v>396</v>
      </c>
    </row>
    <row r="129" spans="1:53" x14ac:dyDescent="0.25">
      <c r="A129" t="s">
        <v>359</v>
      </c>
      <c r="B129" t="s">
        <v>363</v>
      </c>
      <c r="C129" t="s">
        <v>399</v>
      </c>
      <c r="D129" t="s">
        <v>401</v>
      </c>
      <c r="E129" t="s">
        <v>400</v>
      </c>
      <c r="F129" t="s">
        <v>398</v>
      </c>
      <c r="G129" t="s">
        <v>363</v>
      </c>
      <c r="H129" t="s">
        <v>399</v>
      </c>
      <c r="I129" t="s">
        <v>401</v>
      </c>
      <c r="J129" t="s">
        <v>397</v>
      </c>
      <c r="K129" t="s">
        <v>398</v>
      </c>
      <c r="L129" t="s">
        <v>363</v>
      </c>
      <c r="M129" t="s">
        <v>399</v>
      </c>
      <c r="N129" t="s">
        <v>401</v>
      </c>
      <c r="O129" t="s">
        <v>397</v>
      </c>
      <c r="P129" t="s">
        <v>398</v>
      </c>
      <c r="Q129" t="s">
        <v>363</v>
      </c>
      <c r="R129" t="s">
        <v>399</v>
      </c>
      <c r="S129" t="s">
        <v>401</v>
      </c>
      <c r="T129" t="s">
        <v>397</v>
      </c>
      <c r="U129" t="s">
        <v>398</v>
      </c>
      <c r="V129" t="s">
        <v>363</v>
      </c>
      <c r="W129" t="s">
        <v>399</v>
      </c>
      <c r="X129" t="s">
        <v>401</v>
      </c>
      <c r="Y129" t="s">
        <v>397</v>
      </c>
      <c r="Z129" t="s">
        <v>398</v>
      </c>
      <c r="AB129" t="s">
        <v>359</v>
      </c>
      <c r="AC129" t="s">
        <v>363</v>
      </c>
      <c r="AD129" t="s">
        <v>399</v>
      </c>
      <c r="AE129" t="s">
        <v>401</v>
      </c>
      <c r="AF129" t="s">
        <v>400</v>
      </c>
      <c r="AG129" s="3" t="s">
        <v>398</v>
      </c>
      <c r="AH129" t="s">
        <v>363</v>
      </c>
      <c r="AI129" t="s">
        <v>399</v>
      </c>
      <c r="AJ129" t="s">
        <v>401</v>
      </c>
      <c r="AK129" t="s">
        <v>397</v>
      </c>
      <c r="AL129" s="3" t="s">
        <v>398</v>
      </c>
      <c r="AM129" t="s">
        <v>363</v>
      </c>
      <c r="AN129" t="s">
        <v>399</v>
      </c>
      <c r="AO129" t="s">
        <v>401</v>
      </c>
      <c r="AP129" t="s">
        <v>397</v>
      </c>
      <c r="AQ129" s="3" t="s">
        <v>398</v>
      </c>
      <c r="AR129" t="s">
        <v>363</v>
      </c>
      <c r="AS129" t="s">
        <v>399</v>
      </c>
      <c r="AT129" t="s">
        <v>401</v>
      </c>
      <c r="AU129" t="s">
        <v>397</v>
      </c>
      <c r="AV129" s="3" t="s">
        <v>398</v>
      </c>
      <c r="AW129" t="s">
        <v>363</v>
      </c>
      <c r="AX129" t="s">
        <v>399</v>
      </c>
      <c r="AY129" t="s">
        <v>401</v>
      </c>
      <c r="AZ129" t="s">
        <v>397</v>
      </c>
      <c r="BA129" s="3" t="s">
        <v>398</v>
      </c>
    </row>
    <row r="130" spans="1:53" x14ac:dyDescent="0.25">
      <c r="A130" t="s">
        <v>362</v>
      </c>
      <c r="B130" s="51">
        <v>60000</v>
      </c>
      <c r="C130">
        <v>0.19134000000000001</v>
      </c>
      <c r="D130">
        <v>6.64</v>
      </c>
      <c r="E130">
        <v>6.91</v>
      </c>
      <c r="F130">
        <v>0.17275599999999999</v>
      </c>
      <c r="G130" s="59">
        <v>119000</v>
      </c>
      <c r="H130">
        <v>0.17893100000000001</v>
      </c>
      <c r="I130">
        <v>6.76</v>
      </c>
      <c r="J130">
        <v>7.04</v>
      </c>
      <c r="K130">
        <v>0.37346299999999999</v>
      </c>
      <c r="L130">
        <v>240000</v>
      </c>
      <c r="M130">
        <v>0.27943200000000001</v>
      </c>
      <c r="N130">
        <v>6.86</v>
      </c>
      <c r="O130">
        <v>7.16</v>
      </c>
      <c r="P130">
        <v>0.79571000000000003</v>
      </c>
      <c r="Q130" s="59" t="s">
        <v>485</v>
      </c>
      <c r="R130">
        <v>9.9299999999999999E-2</v>
      </c>
      <c r="V130" s="59" t="s">
        <v>486</v>
      </c>
      <c r="W130">
        <v>6.6199999999999995E-2</v>
      </c>
      <c r="AB130" t="s">
        <v>364</v>
      </c>
      <c r="AC130" s="51" t="s">
        <v>482</v>
      </c>
      <c r="AD130">
        <v>1.400002</v>
      </c>
      <c r="AH130" s="59" t="s">
        <v>484</v>
      </c>
      <c r="AI130">
        <v>0.22015299999999999</v>
      </c>
      <c r="AL130" s="3"/>
      <c r="AM130" t="s">
        <v>483</v>
      </c>
      <c r="AN130">
        <v>0.14930299999999999</v>
      </c>
      <c r="AR130" s="59" t="s">
        <v>485</v>
      </c>
      <c r="AS130">
        <v>9.9676000000000001E-2</v>
      </c>
      <c r="AW130" s="59" t="s">
        <v>486</v>
      </c>
      <c r="AX130">
        <v>6.5074000000000007E-2</v>
      </c>
      <c r="BA130" s="3"/>
    </row>
    <row r="131" spans="1:53" x14ac:dyDescent="0.25">
      <c r="B131" s="51"/>
      <c r="C131">
        <v>0.20000200000000001</v>
      </c>
      <c r="D131">
        <f>(C131-$C$130)/($C$147-$C$130)</f>
        <v>1.0711534252301032E-2</v>
      </c>
      <c r="E131">
        <v>5.96</v>
      </c>
      <c r="F131">
        <v>5.87</v>
      </c>
      <c r="G131" s="59"/>
      <c r="H131">
        <v>0.20000100000000001</v>
      </c>
      <c r="I131">
        <f>(H131-$H$130)/($H$147-$H$130)</f>
        <v>2.5661636644865853E-2</v>
      </c>
      <c r="J131">
        <v>5.15</v>
      </c>
      <c r="K131">
        <v>4.66</v>
      </c>
      <c r="L131" s="59"/>
      <c r="M131">
        <v>0.30000199999999999</v>
      </c>
      <c r="N131">
        <f>(M131-$M$130)/($M$145-$M$130)</f>
        <v>2.8546924093215322E-2</v>
      </c>
      <c r="O131">
        <v>3.33</v>
      </c>
      <c r="P131">
        <v>2.0699999999999998</v>
      </c>
      <c r="Q131" s="59"/>
      <c r="R131">
        <v>0.12</v>
      </c>
      <c r="S131">
        <f>(R131-$R$130)/($R$146-$R$130)</f>
        <v>5.4373522458628837E-2</v>
      </c>
      <c r="T131">
        <v>10.09</v>
      </c>
      <c r="U131">
        <v>12.86</v>
      </c>
      <c r="V131" s="59"/>
      <c r="W131">
        <v>0.08</v>
      </c>
      <c r="X131">
        <f>(W131-$W$130)/($W$143-$W$130)</f>
        <v>5.4373308221795841E-2</v>
      </c>
      <c r="Y131">
        <v>12.66</v>
      </c>
      <c r="Z131">
        <v>16.48</v>
      </c>
      <c r="AC131" s="51"/>
      <c r="AD131">
        <v>1.5000009999999999</v>
      </c>
      <c r="AE131">
        <f>(AD131-$AD$130)/($AD$136-$AD$130)</f>
        <v>0.16666527777546283</v>
      </c>
      <c r="AF131">
        <v>4.37</v>
      </c>
      <c r="AG131" s="3">
        <v>41.91</v>
      </c>
      <c r="AI131">
        <v>0.25000099999999997</v>
      </c>
      <c r="AJ131">
        <f>(AI131-$AI$130)/($AI$146-$AI$130)</f>
        <v>3.827417429316262E-2</v>
      </c>
      <c r="AK131">
        <v>6.05</v>
      </c>
      <c r="AL131" s="3">
        <v>13.62</v>
      </c>
      <c r="AN131">
        <v>0.150001</v>
      </c>
      <c r="AO131">
        <f>(AN131-$AN$130)/($AN$143-$AN$130)</f>
        <v>2.3212658547778972E-3</v>
      </c>
      <c r="AP131">
        <v>6.9</v>
      </c>
      <c r="AQ131" s="3">
        <v>240.4</v>
      </c>
      <c r="AS131">
        <v>0.1</v>
      </c>
      <c r="AT131">
        <f>(AS131-$AS$130)/($AS$142-$AS$130)</f>
        <v>1.1767953393093404E-3</v>
      </c>
      <c r="AU131">
        <v>7.38</v>
      </c>
      <c r="AV131" s="3">
        <v>335.57</v>
      </c>
      <c r="AX131" s="63">
        <v>7.4999999999999997E-2</v>
      </c>
      <c r="AY131" s="63">
        <f t="shared" ref="AY131:AY133" si="74">(AX131-$AX$130)/($AX$134-$AX$130)</f>
        <v>0.11687822339448452</v>
      </c>
      <c r="AZ131" s="63">
        <v>15.09</v>
      </c>
      <c r="BA131" s="7">
        <v>15.9</v>
      </c>
    </row>
    <row r="132" spans="1:53" x14ac:dyDescent="0.25">
      <c r="B132" s="51"/>
      <c r="C132">
        <v>0.25000099999999997</v>
      </c>
      <c r="D132">
        <f t="shared" ref="D132:D147" si="75">(C132-$C$130)/($C$147-$C$130)</f>
        <v>7.2540904037662224E-2</v>
      </c>
      <c r="E132">
        <v>6.59</v>
      </c>
      <c r="F132">
        <v>6.28</v>
      </c>
      <c r="G132" s="59"/>
      <c r="H132">
        <v>0.25000099999999997</v>
      </c>
      <c r="I132">
        <f t="shared" ref="I132:I147" si="76">(H132-$H$130)/($H$147-$H$130)</f>
        <v>8.6557784354561698E-2</v>
      </c>
      <c r="J132">
        <v>6.48</v>
      </c>
      <c r="K132">
        <v>5.64</v>
      </c>
      <c r="L132" s="59"/>
      <c r="M132">
        <v>0.35000100000000001</v>
      </c>
      <c r="N132">
        <f t="shared" ref="N132:N145" si="77">(M132-$M$130)/($M$145-$M$130)</f>
        <v>9.7935239977351193E-2</v>
      </c>
      <c r="O132">
        <v>6.2</v>
      </c>
      <c r="P132">
        <v>4.9800000000000004</v>
      </c>
      <c r="Q132" s="59"/>
      <c r="R132">
        <v>0.14400099999999999</v>
      </c>
      <c r="S132">
        <f t="shared" ref="S132:S145" si="78">(R132-$R$130)/($R$146-$R$130)</f>
        <v>0.11741791436826896</v>
      </c>
      <c r="T132">
        <v>13.14</v>
      </c>
      <c r="U132">
        <v>12.2</v>
      </c>
      <c r="V132" s="59"/>
      <c r="W132">
        <v>0.1</v>
      </c>
      <c r="X132">
        <f t="shared" ref="X132:X142" si="79">(W132-$W$130)/($W$143-$W$130)</f>
        <v>0.13317520419541298</v>
      </c>
      <c r="Y132">
        <v>18.73</v>
      </c>
      <c r="Z132">
        <v>15.92</v>
      </c>
      <c r="AC132" s="51"/>
      <c r="AD132">
        <v>1.600001</v>
      </c>
      <c r="AE132">
        <f t="shared" ref="AE132:AE135" si="80">(AD132-$AD$130)/($AD$136-$AD$130)</f>
        <v>0.33333222222037034</v>
      </c>
      <c r="AF132">
        <v>4.1900000000000004</v>
      </c>
      <c r="AG132" s="3">
        <v>23.16</v>
      </c>
      <c r="AI132">
        <v>0.30000100000000002</v>
      </c>
      <c r="AJ132">
        <f t="shared" ref="AJ132:AJ146" si="81">(AI132-$AI$130)/($AI$146-$AI$130)</f>
        <v>0.10238931482713921</v>
      </c>
      <c r="AK132">
        <v>6.76</v>
      </c>
      <c r="AL132" s="3">
        <v>9.11</v>
      </c>
      <c r="AN132">
        <v>0.17500099999999999</v>
      </c>
      <c r="AO132">
        <f t="shared" ref="AO132:AO142" si="82">(AN132-$AN$130)/($AN$143-$AN$130)</f>
        <v>8.5461160366879715E-2</v>
      </c>
      <c r="AP132">
        <v>9.6199999999999992</v>
      </c>
      <c r="AQ132" s="3">
        <v>14.45</v>
      </c>
      <c r="AS132">
        <v>0.125001</v>
      </c>
      <c r="AT132">
        <f t="shared" ref="AT132:AT141" si="83">(AS132-$AS$130)/($AS$142-$AS$130)</f>
        <v>9.1982536938298151E-2</v>
      </c>
      <c r="AU132">
        <v>10.99</v>
      </c>
      <c r="AV132" s="3">
        <v>13.01</v>
      </c>
      <c r="AX132" s="63">
        <v>0.1</v>
      </c>
      <c r="AY132" s="63">
        <f t="shared" si="74"/>
        <v>0.41125214892965645</v>
      </c>
      <c r="AZ132" s="63">
        <v>78.650000000000006</v>
      </c>
      <c r="BA132" s="7">
        <v>41.1</v>
      </c>
    </row>
    <row r="133" spans="1:53" x14ac:dyDescent="0.25">
      <c r="B133" s="51"/>
      <c r="C133">
        <v>0.30000100000000002</v>
      </c>
      <c r="D133">
        <f t="shared" si="75"/>
        <v>0.13437151043515147</v>
      </c>
      <c r="E133">
        <v>6.85</v>
      </c>
      <c r="F133">
        <v>6.5</v>
      </c>
      <c r="G133" s="59"/>
      <c r="H133">
        <v>0.30000100000000002</v>
      </c>
      <c r="I133">
        <f t="shared" si="76"/>
        <v>0.14745393206425764</v>
      </c>
      <c r="J133">
        <v>6.94</v>
      </c>
      <c r="K133">
        <v>6.14</v>
      </c>
      <c r="L133" s="59"/>
      <c r="M133">
        <v>0.400001</v>
      </c>
      <c r="N133">
        <f t="shared" si="77"/>
        <v>0.16732494365556058</v>
      </c>
      <c r="O133">
        <v>6.93</v>
      </c>
      <c r="P133">
        <v>5.92</v>
      </c>
      <c r="Q133" s="59"/>
      <c r="R133">
        <v>0.16800100000000001</v>
      </c>
      <c r="S133">
        <f t="shared" si="78"/>
        <v>0.18045967953769376</v>
      </c>
      <c r="T133">
        <v>15.88</v>
      </c>
      <c r="U133">
        <v>13.03</v>
      </c>
      <c r="V133" s="59"/>
      <c r="W133">
        <v>0.12</v>
      </c>
      <c r="X133">
        <f t="shared" si="79"/>
        <v>0.21197710016903007</v>
      </c>
      <c r="Y133">
        <v>26.11</v>
      </c>
      <c r="Z133">
        <v>18.329999999999998</v>
      </c>
      <c r="AC133" s="51"/>
      <c r="AD133">
        <v>1.7000010000000001</v>
      </c>
      <c r="AE133">
        <f t="shared" si="80"/>
        <v>0.49999916666527783</v>
      </c>
      <c r="AF133">
        <v>4.22</v>
      </c>
      <c r="AG133" s="3">
        <v>16.920000000000002</v>
      </c>
      <c r="AI133">
        <v>0.35</v>
      </c>
      <c r="AJ133">
        <f t="shared" si="81"/>
        <v>0.16650317305830503</v>
      </c>
      <c r="AK133">
        <v>6.94</v>
      </c>
      <c r="AL133" s="3">
        <v>8.23</v>
      </c>
      <c r="AN133">
        <v>0.20000100000000001</v>
      </c>
      <c r="AO133">
        <f t="shared" si="82"/>
        <v>0.16860105487898164</v>
      </c>
      <c r="AP133">
        <v>17.39</v>
      </c>
      <c r="AQ133" s="3">
        <v>13.52</v>
      </c>
      <c r="AS133">
        <v>0.15</v>
      </c>
      <c r="AT133">
        <f t="shared" si="83"/>
        <v>0.18278101436852578</v>
      </c>
      <c r="AU133">
        <v>18.39</v>
      </c>
      <c r="AV133" s="3">
        <v>13.66</v>
      </c>
      <c r="AX133" s="63">
        <v>0.125</v>
      </c>
      <c r="AY133" s="63">
        <f t="shared" si="74"/>
        <v>0.70562607446482828</v>
      </c>
      <c r="AZ133" s="63">
        <v>105.17</v>
      </c>
      <c r="BA133" s="7">
        <v>81.59</v>
      </c>
    </row>
    <row r="134" spans="1:53" x14ac:dyDescent="0.25">
      <c r="B134" s="51"/>
      <c r="C134">
        <v>0.35</v>
      </c>
      <c r="D134">
        <f t="shared" si="75"/>
        <v>0.19620088022051266</v>
      </c>
      <c r="E134">
        <v>6.8</v>
      </c>
      <c r="F134">
        <v>6.61</v>
      </c>
      <c r="G134" s="59"/>
      <c r="H134">
        <v>0.35</v>
      </c>
      <c r="I134">
        <f t="shared" si="76"/>
        <v>0.20834886185099927</v>
      </c>
      <c r="J134">
        <v>7.04</v>
      </c>
      <c r="K134">
        <v>6.44</v>
      </c>
      <c r="L134" s="59"/>
      <c r="M134">
        <v>0.45000099999999998</v>
      </c>
      <c r="N134">
        <f t="shared" si="77"/>
        <v>0.23671464733376998</v>
      </c>
      <c r="O134">
        <v>7.16</v>
      </c>
      <c r="P134">
        <v>6.39</v>
      </c>
      <c r="Q134" s="59"/>
      <c r="R134">
        <v>0.192001</v>
      </c>
      <c r="S134">
        <f t="shared" si="78"/>
        <v>0.24350144470711849</v>
      </c>
      <c r="T134">
        <v>17.91</v>
      </c>
      <c r="U134">
        <v>14.05</v>
      </c>
      <c r="V134" s="59"/>
      <c r="W134">
        <v>0.14000099999999999</v>
      </c>
      <c r="X134">
        <f t="shared" si="79"/>
        <v>0.29078293623744583</v>
      </c>
      <c r="Y134">
        <v>32.01</v>
      </c>
      <c r="Z134">
        <v>21.3</v>
      </c>
      <c r="AC134" s="51"/>
      <c r="AD134">
        <v>1.800001</v>
      </c>
      <c r="AE134">
        <f t="shared" si="80"/>
        <v>0.66666611111018503</v>
      </c>
      <c r="AF134">
        <v>4.5199999999999996</v>
      </c>
      <c r="AG134" s="3">
        <v>13.79</v>
      </c>
      <c r="AI134">
        <v>0.4</v>
      </c>
      <c r="AJ134">
        <f t="shared" si="81"/>
        <v>0.23061831359228163</v>
      </c>
      <c r="AK134">
        <v>6.84</v>
      </c>
      <c r="AL134" s="3">
        <v>7.85</v>
      </c>
      <c r="AN134">
        <v>0.22500000000000001</v>
      </c>
      <c r="AO134">
        <f t="shared" si="82"/>
        <v>0.25173762379530296</v>
      </c>
      <c r="AP134">
        <v>30.77</v>
      </c>
      <c r="AQ134" s="3">
        <v>17.5</v>
      </c>
      <c r="AS134">
        <v>0.17499999999999999</v>
      </c>
      <c r="AT134">
        <f t="shared" si="83"/>
        <v>0.27358312388313399</v>
      </c>
      <c r="AU134">
        <v>34.08</v>
      </c>
      <c r="AV134" s="3">
        <v>20.09</v>
      </c>
      <c r="AX134" s="63">
        <v>0.15</v>
      </c>
      <c r="AY134" s="63">
        <f>(AX134-$AX$130)/($AX$134-$AX$130)</f>
        <v>1</v>
      </c>
      <c r="AZ134" s="63">
        <v>9.68</v>
      </c>
      <c r="BA134" s="7">
        <v>85.27</v>
      </c>
    </row>
    <row r="135" spans="1:53" x14ac:dyDescent="0.25">
      <c r="B135" s="51"/>
      <c r="C135">
        <v>0.4</v>
      </c>
      <c r="D135">
        <f t="shared" si="75"/>
        <v>0.2580314866180019</v>
      </c>
      <c r="E135">
        <v>6.76</v>
      </c>
      <c r="F135">
        <v>6.65</v>
      </c>
      <c r="G135" s="59"/>
      <c r="H135">
        <v>0.4</v>
      </c>
      <c r="I135">
        <f t="shared" si="76"/>
        <v>0.26924500956069525</v>
      </c>
      <c r="J135">
        <v>6.95</v>
      </c>
      <c r="K135">
        <v>6.59</v>
      </c>
      <c r="L135" s="59"/>
      <c r="M135">
        <v>0.5</v>
      </c>
      <c r="N135">
        <f t="shared" si="77"/>
        <v>0.30610296321790587</v>
      </c>
      <c r="O135">
        <v>7.1</v>
      </c>
      <c r="P135">
        <v>6.63</v>
      </c>
      <c r="Q135" s="59"/>
      <c r="R135">
        <v>0.216001</v>
      </c>
      <c r="S135">
        <f t="shared" si="78"/>
        <v>0.30654320987654321</v>
      </c>
      <c r="T135">
        <v>19.53</v>
      </c>
      <c r="U135">
        <v>15.02</v>
      </c>
      <c r="V135" s="59"/>
      <c r="W135">
        <v>0.160001</v>
      </c>
      <c r="X135">
        <f t="shared" si="79"/>
        <v>0.36958483221106303</v>
      </c>
      <c r="Y135">
        <v>34.24</v>
      </c>
      <c r="Z135">
        <v>23.89</v>
      </c>
      <c r="AC135" s="51"/>
      <c r="AD135">
        <v>1.9000010000000001</v>
      </c>
      <c r="AE135">
        <f t="shared" si="80"/>
        <v>0.83333305555509252</v>
      </c>
      <c r="AF135">
        <v>4.6900000000000004</v>
      </c>
      <c r="AG135" s="3">
        <v>11.92</v>
      </c>
      <c r="AI135">
        <v>0.45</v>
      </c>
      <c r="AJ135">
        <f t="shared" si="81"/>
        <v>0.29473345412625812</v>
      </c>
      <c r="AK135">
        <v>6.56</v>
      </c>
      <c r="AL135" s="3">
        <v>7.6</v>
      </c>
      <c r="AN135">
        <v>0.25</v>
      </c>
      <c r="AO135">
        <f t="shared" si="82"/>
        <v>0.33487751830740475</v>
      </c>
      <c r="AP135">
        <v>33.630000000000003</v>
      </c>
      <c r="AQ135" s="3">
        <v>22.39</v>
      </c>
      <c r="AS135">
        <v>0.2</v>
      </c>
      <c r="AT135">
        <f t="shared" si="83"/>
        <v>0.36438523339774231</v>
      </c>
      <c r="AU135">
        <v>35.44</v>
      </c>
      <c r="AV135" s="3">
        <v>26.27</v>
      </c>
      <c r="AX135" s="63"/>
      <c r="AY135" s="63"/>
      <c r="AZ135" s="63"/>
      <c r="BA135" s="7"/>
    </row>
    <row r="136" spans="1:53" x14ac:dyDescent="0.25">
      <c r="B136" s="51"/>
      <c r="C136">
        <v>0.45000099999999998</v>
      </c>
      <c r="D136">
        <f t="shared" si="75"/>
        <v>0.31986332962761904</v>
      </c>
      <c r="E136">
        <v>6.69</v>
      </c>
      <c r="F136">
        <v>6.66</v>
      </c>
      <c r="G136" s="59"/>
      <c r="H136">
        <v>0.45000099999999998</v>
      </c>
      <c r="I136">
        <f t="shared" si="76"/>
        <v>0.33014237519334527</v>
      </c>
      <c r="J136">
        <v>6.9</v>
      </c>
      <c r="K136">
        <v>6.66</v>
      </c>
      <c r="L136" s="59"/>
      <c r="M136">
        <v>0.55000099999999996</v>
      </c>
      <c r="N136">
        <f t="shared" si="77"/>
        <v>0.37549405469018876</v>
      </c>
      <c r="O136">
        <v>7.03</v>
      </c>
      <c r="P136">
        <v>6.73</v>
      </c>
      <c r="Q136" s="59"/>
      <c r="R136">
        <v>0.24000099999999999</v>
      </c>
      <c r="S136">
        <f t="shared" si="78"/>
        <v>0.36958497504596793</v>
      </c>
      <c r="T136">
        <v>21.19</v>
      </c>
      <c r="U136">
        <v>15.94</v>
      </c>
      <c r="V136" s="59"/>
      <c r="W136">
        <v>0.18000099999999999</v>
      </c>
      <c r="X136">
        <f t="shared" si="79"/>
        <v>0.44838672818468012</v>
      </c>
      <c r="Y136">
        <v>34.49</v>
      </c>
      <c r="Z136">
        <v>25.74</v>
      </c>
      <c r="AC136" s="51"/>
      <c r="AD136">
        <v>2.0000010000000001</v>
      </c>
      <c r="AG136" s="3"/>
      <c r="AI136">
        <v>0.5</v>
      </c>
      <c r="AJ136">
        <f t="shared" si="81"/>
        <v>0.35884859466023467</v>
      </c>
      <c r="AK136">
        <v>6.5</v>
      </c>
      <c r="AL136" s="3">
        <v>7.41</v>
      </c>
      <c r="AN136">
        <v>0.275001</v>
      </c>
      <c r="AO136">
        <f t="shared" si="82"/>
        <v>0.41802073841528709</v>
      </c>
      <c r="AP136">
        <v>33.46</v>
      </c>
      <c r="AQ136" s="3">
        <v>25.06</v>
      </c>
      <c r="AS136">
        <v>0.22500000000000001</v>
      </c>
      <c r="AT136">
        <f t="shared" si="83"/>
        <v>0.45518734291235047</v>
      </c>
      <c r="AU136">
        <v>34.15</v>
      </c>
      <c r="AV136" s="3">
        <v>28.58</v>
      </c>
      <c r="AX136" s="63"/>
      <c r="AY136" s="63"/>
      <c r="AZ136" s="63"/>
      <c r="BA136" s="63"/>
    </row>
    <row r="137" spans="1:53" x14ac:dyDescent="0.25">
      <c r="B137" s="51"/>
      <c r="C137">
        <v>0.50000100000000003</v>
      </c>
      <c r="D137">
        <f t="shared" si="75"/>
        <v>0.38169393602510826</v>
      </c>
      <c r="E137">
        <v>6.7</v>
      </c>
      <c r="F137">
        <v>6.67</v>
      </c>
      <c r="G137" s="59"/>
      <c r="H137">
        <v>0.50000100000000003</v>
      </c>
      <c r="I137">
        <f t="shared" si="76"/>
        <v>0.3910385229030412</v>
      </c>
      <c r="J137">
        <v>6.86</v>
      </c>
      <c r="K137">
        <v>6.7</v>
      </c>
      <c r="L137" s="59"/>
      <c r="M137">
        <v>0.60000100000000001</v>
      </c>
      <c r="N137">
        <f t="shared" si="77"/>
        <v>0.44488375836839827</v>
      </c>
      <c r="O137">
        <v>6.99</v>
      </c>
      <c r="P137">
        <v>6.78</v>
      </c>
      <c r="Q137" s="59"/>
      <c r="R137">
        <v>0.26400099999999999</v>
      </c>
      <c r="S137">
        <f t="shared" si="78"/>
        <v>0.43262674021539266</v>
      </c>
      <c r="T137">
        <v>20.82</v>
      </c>
      <c r="U137">
        <v>16.7</v>
      </c>
      <c r="V137" s="59"/>
      <c r="W137">
        <v>0.20000100000000001</v>
      </c>
      <c r="X137">
        <f t="shared" si="79"/>
        <v>0.52718862415829726</v>
      </c>
      <c r="Y137">
        <v>34.46</v>
      </c>
      <c r="Z137">
        <v>27.05</v>
      </c>
      <c r="AI137">
        <v>0.55000000000000004</v>
      </c>
      <c r="AJ137">
        <f t="shared" si="81"/>
        <v>0.42296373519421127</v>
      </c>
      <c r="AK137">
        <v>6.49</v>
      </c>
      <c r="AL137" s="3">
        <v>7.27</v>
      </c>
      <c r="AN137">
        <v>0.30000100000000002</v>
      </c>
      <c r="AO137">
        <f t="shared" si="82"/>
        <v>0.50116063292738899</v>
      </c>
      <c r="AP137">
        <v>33.39</v>
      </c>
      <c r="AQ137" s="3">
        <v>26.65</v>
      </c>
      <c r="AS137">
        <v>0.25</v>
      </c>
      <c r="AT137">
        <f t="shared" si="83"/>
        <v>0.54598945242695884</v>
      </c>
      <c r="AU137">
        <v>34</v>
      </c>
      <c r="AV137" s="3">
        <v>29.75</v>
      </c>
      <c r="AX137" s="63"/>
      <c r="AY137" s="63"/>
      <c r="AZ137" s="63"/>
      <c r="BA137" s="63"/>
    </row>
    <row r="138" spans="1:53" x14ac:dyDescent="0.25">
      <c r="B138" s="51"/>
      <c r="C138">
        <v>0.55000099999999996</v>
      </c>
      <c r="D138">
        <f t="shared" si="75"/>
        <v>0.44352454242259737</v>
      </c>
      <c r="E138">
        <v>6.64</v>
      </c>
      <c r="F138">
        <v>6.67</v>
      </c>
      <c r="G138" s="59"/>
      <c r="H138">
        <v>0.55000000000000004</v>
      </c>
      <c r="I138">
        <f t="shared" si="76"/>
        <v>0.45193345268978291</v>
      </c>
      <c r="J138">
        <v>6.83</v>
      </c>
      <c r="K138">
        <v>6.72</v>
      </c>
      <c r="L138" s="59"/>
      <c r="M138">
        <v>0.65</v>
      </c>
      <c r="N138">
        <f t="shared" si="77"/>
        <v>0.51427207425253418</v>
      </c>
      <c r="O138">
        <v>6.95</v>
      </c>
      <c r="P138">
        <v>6.81</v>
      </c>
      <c r="Q138" s="59"/>
      <c r="R138">
        <v>0.28800100000000001</v>
      </c>
      <c r="S138">
        <f t="shared" si="78"/>
        <v>0.49566850538481749</v>
      </c>
      <c r="T138">
        <v>21.58</v>
      </c>
      <c r="U138">
        <v>17.29</v>
      </c>
      <c r="V138" s="59"/>
      <c r="W138">
        <v>0.220001</v>
      </c>
      <c r="X138">
        <f t="shared" si="79"/>
        <v>0.60599052013191446</v>
      </c>
      <c r="Y138">
        <v>34.42</v>
      </c>
      <c r="Z138">
        <v>28.01</v>
      </c>
      <c r="AI138">
        <v>0.6</v>
      </c>
      <c r="AJ138">
        <f t="shared" si="81"/>
        <v>0.4870788757281877</v>
      </c>
      <c r="AK138">
        <v>6.8</v>
      </c>
      <c r="AL138" s="3">
        <v>7.19</v>
      </c>
      <c r="AN138">
        <v>0.32500000000000001</v>
      </c>
      <c r="AO138">
        <f t="shared" si="82"/>
        <v>0.58429720184371037</v>
      </c>
      <c r="AP138">
        <v>33.119999999999997</v>
      </c>
      <c r="AQ138" s="3">
        <v>27.71</v>
      </c>
      <c r="AS138">
        <v>0.27500000000000002</v>
      </c>
      <c r="AT138">
        <f t="shared" si="83"/>
        <v>0.63679156194156716</v>
      </c>
      <c r="AU138">
        <v>34.01</v>
      </c>
      <c r="AV138" s="3">
        <v>30.49</v>
      </c>
      <c r="AX138" s="63"/>
      <c r="AY138" s="63"/>
      <c r="AZ138" s="63"/>
      <c r="BA138" s="63"/>
    </row>
    <row r="139" spans="1:53" x14ac:dyDescent="0.25">
      <c r="B139" s="51"/>
      <c r="C139">
        <v>0.60000100000000001</v>
      </c>
      <c r="D139">
        <f t="shared" si="75"/>
        <v>0.50535514882008659</v>
      </c>
      <c r="E139">
        <v>6.61</v>
      </c>
      <c r="F139">
        <v>6.66</v>
      </c>
      <c r="G139" s="59"/>
      <c r="H139">
        <v>0.6</v>
      </c>
      <c r="I139">
        <f t="shared" si="76"/>
        <v>0.51282960039947867</v>
      </c>
      <c r="J139">
        <v>6.81</v>
      </c>
      <c r="K139">
        <v>6.73</v>
      </c>
      <c r="L139" s="59"/>
      <c r="M139">
        <v>0.7</v>
      </c>
      <c r="N139">
        <f t="shared" si="77"/>
        <v>0.58366177793074348</v>
      </c>
      <c r="O139">
        <v>6.93</v>
      </c>
      <c r="P139">
        <v>6.83</v>
      </c>
      <c r="Q139" s="59"/>
      <c r="R139">
        <v>0.31200099999999997</v>
      </c>
      <c r="S139">
        <f t="shared" si="78"/>
        <v>0.55871027055424216</v>
      </c>
      <c r="T139">
        <v>22.19</v>
      </c>
      <c r="U139">
        <v>17.8</v>
      </c>
      <c r="V139" s="59"/>
      <c r="W139">
        <v>0.24000099999999999</v>
      </c>
      <c r="X139">
        <f t="shared" si="79"/>
        <v>0.68479241610553143</v>
      </c>
      <c r="Y139">
        <v>34.43</v>
      </c>
      <c r="Z139">
        <v>28.75</v>
      </c>
      <c r="AI139">
        <v>0.65</v>
      </c>
      <c r="AJ139">
        <f t="shared" si="81"/>
        <v>0.55119401626216435</v>
      </c>
      <c r="AK139">
        <v>7.04</v>
      </c>
      <c r="AL139" s="3">
        <v>7.16</v>
      </c>
      <c r="AN139">
        <v>0.35000100000000001</v>
      </c>
      <c r="AO139">
        <f t="shared" si="82"/>
        <v>0.66744042195159259</v>
      </c>
      <c r="AP139">
        <v>32.93</v>
      </c>
      <c r="AQ139" s="3">
        <v>28.47</v>
      </c>
      <c r="AS139">
        <v>0.3</v>
      </c>
      <c r="AT139">
        <f t="shared" si="83"/>
        <v>0.72759367145617526</v>
      </c>
      <c r="AU139">
        <v>29.89</v>
      </c>
      <c r="AV139" s="3">
        <v>30.91</v>
      </c>
      <c r="AX139" s="63"/>
      <c r="AY139" s="63"/>
      <c r="AZ139" s="63"/>
      <c r="BA139" s="63"/>
    </row>
    <row r="140" spans="1:53" x14ac:dyDescent="0.25">
      <c r="C140">
        <v>0.65000100000000005</v>
      </c>
      <c r="D140">
        <f t="shared" si="75"/>
        <v>0.56718575521757586</v>
      </c>
      <c r="E140">
        <v>6.6</v>
      </c>
      <c r="F140">
        <v>6.66</v>
      </c>
      <c r="G140" s="59"/>
      <c r="H140">
        <v>0.65</v>
      </c>
      <c r="I140">
        <f t="shared" si="76"/>
        <v>0.57372574810917465</v>
      </c>
      <c r="J140">
        <v>6.8</v>
      </c>
      <c r="K140" s="3">
        <v>6.74</v>
      </c>
      <c r="L140" s="59"/>
      <c r="M140">
        <v>0.75</v>
      </c>
      <c r="N140">
        <f t="shared" si="77"/>
        <v>0.65305148160895288</v>
      </c>
      <c r="O140">
        <v>6.91</v>
      </c>
      <c r="P140" s="3">
        <v>6.84</v>
      </c>
      <c r="Q140" s="59"/>
      <c r="R140">
        <v>0.33600000000000002</v>
      </c>
      <c r="S140">
        <f t="shared" si="78"/>
        <v>0.62174940898345166</v>
      </c>
      <c r="T140">
        <v>22</v>
      </c>
      <c r="U140" s="3">
        <v>18.22</v>
      </c>
      <c r="V140" s="59"/>
      <c r="W140">
        <v>0.26000099999999998</v>
      </c>
      <c r="X140">
        <f t="shared" si="79"/>
        <v>0.76359431207914863</v>
      </c>
      <c r="Y140">
        <v>34.47</v>
      </c>
      <c r="Z140">
        <v>29.33</v>
      </c>
      <c r="AI140">
        <v>0.7</v>
      </c>
      <c r="AJ140">
        <f t="shared" si="81"/>
        <v>0.61530915679614073</v>
      </c>
      <c r="AK140">
        <v>7.27</v>
      </c>
      <c r="AL140" s="3">
        <v>7.17</v>
      </c>
      <c r="AN140">
        <v>0.375</v>
      </c>
      <c r="AO140">
        <f t="shared" si="82"/>
        <v>0.75057699086791396</v>
      </c>
      <c r="AP140">
        <v>1.52</v>
      </c>
      <c r="AQ140" s="3">
        <v>27.17</v>
      </c>
      <c r="AS140">
        <v>0.32500000000000001</v>
      </c>
      <c r="AT140">
        <f t="shared" si="83"/>
        <v>0.81839578097078358</v>
      </c>
      <c r="AU140">
        <v>3.49</v>
      </c>
      <c r="AV140" s="3">
        <v>28.68</v>
      </c>
      <c r="AX140" s="63"/>
      <c r="AY140" s="63"/>
      <c r="AZ140" s="63"/>
      <c r="BA140" s="63"/>
    </row>
    <row r="141" spans="1:53" x14ac:dyDescent="0.25">
      <c r="C141">
        <v>0.70000099999999998</v>
      </c>
      <c r="D141">
        <f t="shared" si="75"/>
        <v>0.62901636161506502</v>
      </c>
      <c r="E141">
        <v>6.6</v>
      </c>
      <c r="F141">
        <v>6.66</v>
      </c>
      <c r="G141" s="59"/>
      <c r="H141">
        <v>0.70000099999999998</v>
      </c>
      <c r="I141">
        <f t="shared" si="76"/>
        <v>0.63462311374182467</v>
      </c>
      <c r="J141">
        <v>6.78</v>
      </c>
      <c r="K141" s="3">
        <v>6.75</v>
      </c>
      <c r="L141" s="59"/>
      <c r="M141">
        <v>0.8</v>
      </c>
      <c r="N141">
        <f t="shared" si="77"/>
        <v>0.72244118528716239</v>
      </c>
      <c r="O141">
        <v>6.9</v>
      </c>
      <c r="P141" s="3">
        <v>6.85</v>
      </c>
      <c r="Q141" s="59"/>
      <c r="R141">
        <v>0.36</v>
      </c>
      <c r="S141">
        <f t="shared" si="78"/>
        <v>0.68479117415287627</v>
      </c>
      <c r="T141">
        <v>22.43</v>
      </c>
      <c r="U141" s="3">
        <v>18.62</v>
      </c>
      <c r="V141" s="59"/>
      <c r="W141">
        <v>0.280001</v>
      </c>
      <c r="X141">
        <f t="shared" si="79"/>
        <v>0.84239620805276583</v>
      </c>
      <c r="Y141">
        <v>3.61</v>
      </c>
      <c r="Z141">
        <v>28</v>
      </c>
      <c r="AI141">
        <v>0.75</v>
      </c>
      <c r="AJ141">
        <f t="shared" si="81"/>
        <v>0.67942429733011733</v>
      </c>
      <c r="AK141">
        <v>7.3</v>
      </c>
      <c r="AL141" s="3">
        <v>7.18</v>
      </c>
      <c r="AN141">
        <v>0.400001</v>
      </c>
      <c r="AO141">
        <f t="shared" si="82"/>
        <v>0.83372021097579618</v>
      </c>
      <c r="AP141">
        <v>1.83</v>
      </c>
      <c r="AQ141" s="3">
        <v>24.97</v>
      </c>
      <c r="AS141">
        <v>0.35</v>
      </c>
      <c r="AT141">
        <f t="shared" si="83"/>
        <v>0.90919789048539168</v>
      </c>
      <c r="AU141">
        <v>0.02</v>
      </c>
      <c r="AV141" s="3">
        <v>26.91</v>
      </c>
      <c r="AX141" s="63"/>
      <c r="AY141" s="63"/>
      <c r="AZ141" s="63"/>
      <c r="BA141" s="63"/>
    </row>
    <row r="142" spans="1:53" x14ac:dyDescent="0.25">
      <c r="C142">
        <v>0.75</v>
      </c>
      <c r="D142">
        <f t="shared" si="75"/>
        <v>0.69084573140042616</v>
      </c>
      <c r="E142">
        <v>6.59</v>
      </c>
      <c r="F142">
        <v>6.65</v>
      </c>
      <c r="G142" s="59"/>
      <c r="H142">
        <v>0.75</v>
      </c>
      <c r="I142">
        <f t="shared" si="76"/>
        <v>0.6955180435285665</v>
      </c>
      <c r="J142">
        <v>6.77</v>
      </c>
      <c r="K142" s="3">
        <v>6.75</v>
      </c>
      <c r="L142" s="59"/>
      <c r="M142">
        <v>0.85</v>
      </c>
      <c r="N142">
        <f t="shared" si="77"/>
        <v>0.79183088896537168</v>
      </c>
      <c r="O142">
        <v>6.89</v>
      </c>
      <c r="P142" s="3">
        <v>6.85</v>
      </c>
      <c r="Q142" s="59"/>
      <c r="R142">
        <v>0.38400000000000001</v>
      </c>
      <c r="S142">
        <f t="shared" si="78"/>
        <v>0.7478329393223011</v>
      </c>
      <c r="T142">
        <v>21.59</v>
      </c>
      <c r="U142" s="3">
        <v>18.91</v>
      </c>
      <c r="V142" s="59"/>
      <c r="W142">
        <v>0.30000100000000002</v>
      </c>
      <c r="X142">
        <f t="shared" si="79"/>
        <v>0.92119810402638302</v>
      </c>
      <c r="Y142">
        <v>0.01</v>
      </c>
      <c r="Z142">
        <v>25.71</v>
      </c>
      <c r="AI142">
        <v>0.8</v>
      </c>
      <c r="AJ142">
        <f t="shared" si="81"/>
        <v>0.74353943786409393</v>
      </c>
      <c r="AK142">
        <v>7.02</v>
      </c>
      <c r="AL142" s="3">
        <v>7.18</v>
      </c>
      <c r="AN142">
        <v>0.42500100000000002</v>
      </c>
      <c r="AO142">
        <f t="shared" si="82"/>
        <v>0.91686010548789809</v>
      </c>
      <c r="AP142">
        <v>0.15</v>
      </c>
      <c r="AQ142" s="3">
        <v>23.32</v>
      </c>
      <c r="AS142">
        <v>0.375</v>
      </c>
      <c r="AV142" s="3"/>
      <c r="AX142" s="63"/>
      <c r="AY142" s="63"/>
      <c r="AZ142" s="63"/>
      <c r="BA142" s="63"/>
    </row>
    <row r="143" spans="1:53" x14ac:dyDescent="0.25">
      <c r="C143">
        <v>0.8</v>
      </c>
      <c r="D143">
        <f t="shared" si="75"/>
        <v>0.75267633779791543</v>
      </c>
      <c r="E143">
        <v>6.58</v>
      </c>
      <c r="F143">
        <v>6.65</v>
      </c>
      <c r="G143" s="59"/>
      <c r="H143">
        <v>0.8</v>
      </c>
      <c r="I143">
        <f t="shared" si="76"/>
        <v>0.75641419123826237</v>
      </c>
      <c r="J143">
        <v>6.77</v>
      </c>
      <c r="K143" s="3">
        <v>6.75</v>
      </c>
      <c r="L143" s="59"/>
      <c r="M143">
        <v>0.9</v>
      </c>
      <c r="N143">
        <f t="shared" si="77"/>
        <v>0.8612205926435812</v>
      </c>
      <c r="O143">
        <v>6.88</v>
      </c>
      <c r="P143" s="3">
        <v>6.86</v>
      </c>
      <c r="Q143" s="59"/>
      <c r="R143">
        <v>0.40799999999999997</v>
      </c>
      <c r="S143">
        <f t="shared" si="78"/>
        <v>0.81087470449172572</v>
      </c>
      <c r="T143">
        <v>4.99</v>
      </c>
      <c r="U143" s="3">
        <v>18.79</v>
      </c>
      <c r="V143" s="59"/>
      <c r="W143">
        <v>0.32000099999999998</v>
      </c>
      <c r="AI143">
        <v>0.85</v>
      </c>
      <c r="AJ143">
        <f t="shared" si="81"/>
        <v>0.80765457839807053</v>
      </c>
      <c r="AK143">
        <v>6.89</v>
      </c>
      <c r="AL143" s="3">
        <v>7.16</v>
      </c>
      <c r="AN143">
        <v>0.45000099999999998</v>
      </c>
      <c r="AQ143" s="3"/>
      <c r="AV143" s="3"/>
      <c r="AX143" s="63"/>
      <c r="AY143" s="63"/>
      <c r="AZ143" s="63"/>
      <c r="BA143" s="63"/>
    </row>
    <row r="144" spans="1:53" x14ac:dyDescent="0.25">
      <c r="C144">
        <v>0.85000100000000001</v>
      </c>
      <c r="D144">
        <f t="shared" si="75"/>
        <v>0.81450818080753251</v>
      </c>
      <c r="E144">
        <v>6.57</v>
      </c>
      <c r="F144">
        <v>6.64</v>
      </c>
      <c r="G144" s="59"/>
      <c r="H144">
        <v>0.85</v>
      </c>
      <c r="I144">
        <f t="shared" si="76"/>
        <v>0.81731033894795813</v>
      </c>
      <c r="J144">
        <v>6.76</v>
      </c>
      <c r="K144" s="3">
        <v>6.75</v>
      </c>
      <c r="L144" s="59"/>
      <c r="M144">
        <v>0.95</v>
      </c>
      <c r="N144">
        <f t="shared" si="77"/>
        <v>0.93061029632179049</v>
      </c>
      <c r="O144">
        <v>6.87</v>
      </c>
      <c r="P144" s="3">
        <v>6.86</v>
      </c>
      <c r="Q144" s="59"/>
      <c r="R144">
        <v>0.432</v>
      </c>
      <c r="S144">
        <f t="shared" si="78"/>
        <v>0.87391646966115055</v>
      </c>
      <c r="T144">
        <v>6.16</v>
      </c>
      <c r="U144" s="3">
        <v>17.79</v>
      </c>
      <c r="V144" s="59"/>
      <c r="AI144">
        <v>0.9</v>
      </c>
      <c r="AJ144">
        <f t="shared" si="81"/>
        <v>0.87176971893204713</v>
      </c>
      <c r="AK144">
        <v>7</v>
      </c>
      <c r="AL144" s="3">
        <v>7.15</v>
      </c>
      <c r="AQ144" s="3"/>
      <c r="AV144" s="3"/>
      <c r="AX144" s="63"/>
      <c r="AY144" s="63"/>
      <c r="AZ144" s="63"/>
      <c r="BA144" s="63"/>
    </row>
    <row r="145" spans="3:53" x14ac:dyDescent="0.25">
      <c r="C145">
        <v>0.90000199999999997</v>
      </c>
      <c r="D145">
        <f t="shared" si="75"/>
        <v>0.87634002381714959</v>
      </c>
      <c r="E145">
        <v>6.57</v>
      </c>
      <c r="F145">
        <v>6.64</v>
      </c>
      <c r="G145" s="59"/>
      <c r="H145">
        <v>0.9</v>
      </c>
      <c r="I145">
        <f t="shared" si="76"/>
        <v>0.878206486657654</v>
      </c>
      <c r="J145">
        <v>6.75</v>
      </c>
      <c r="K145" s="3">
        <v>6.75</v>
      </c>
      <c r="L145" s="59"/>
      <c r="M145">
        <v>1</v>
      </c>
      <c r="N145">
        <f t="shared" si="77"/>
        <v>1</v>
      </c>
      <c r="O145">
        <v>6.86</v>
      </c>
      <c r="P145" s="3">
        <v>6.86</v>
      </c>
      <c r="Q145" s="59"/>
      <c r="R145">
        <v>0.45600000000000002</v>
      </c>
      <c r="S145">
        <f t="shared" si="78"/>
        <v>0.93695823483057539</v>
      </c>
      <c r="T145">
        <v>0.98</v>
      </c>
      <c r="U145" s="3">
        <v>16.84</v>
      </c>
      <c r="V145" s="59"/>
      <c r="AI145">
        <v>0.95</v>
      </c>
      <c r="AJ145">
        <f t="shared" si="81"/>
        <v>0.9358848594660234</v>
      </c>
      <c r="AK145">
        <v>7.27</v>
      </c>
      <c r="AL145" s="3">
        <v>7.15</v>
      </c>
      <c r="AQ145" s="3"/>
      <c r="AV145" s="3"/>
      <c r="AX145" s="63"/>
      <c r="AY145" s="63"/>
      <c r="AZ145" s="63"/>
      <c r="BA145" s="63"/>
    </row>
    <row r="146" spans="3:53" x14ac:dyDescent="0.25">
      <c r="C146">
        <v>0.95000099999999998</v>
      </c>
      <c r="D146">
        <f t="shared" si="75"/>
        <v>0.93816939360251106</v>
      </c>
      <c r="E146">
        <v>6.6</v>
      </c>
      <c r="F146">
        <v>6.64</v>
      </c>
      <c r="G146" s="59"/>
      <c r="H146">
        <v>0.95000099999999998</v>
      </c>
      <c r="I146">
        <f t="shared" si="76"/>
        <v>0.93910385229030402</v>
      </c>
      <c r="J146">
        <v>6.76</v>
      </c>
      <c r="K146" s="3">
        <v>6.75</v>
      </c>
      <c r="L146" s="59"/>
      <c r="P146" s="3"/>
      <c r="Q146" s="59"/>
      <c r="R146">
        <v>0.48</v>
      </c>
      <c r="U146" s="3"/>
      <c r="V146" s="59"/>
      <c r="AI146">
        <v>1</v>
      </c>
      <c r="AJ146">
        <f t="shared" si="81"/>
        <v>1</v>
      </c>
      <c r="AK146">
        <v>7.38</v>
      </c>
      <c r="AL146" s="3">
        <v>7.17</v>
      </c>
      <c r="AV146" s="3"/>
      <c r="AX146" s="63"/>
      <c r="AY146" s="63"/>
      <c r="AZ146" s="63"/>
      <c r="BA146" s="63"/>
    </row>
    <row r="147" spans="3:53" x14ac:dyDescent="0.25">
      <c r="C147">
        <v>1.0000009999999999</v>
      </c>
      <c r="D147">
        <f t="shared" si="75"/>
        <v>1</v>
      </c>
      <c r="E147">
        <v>6.91</v>
      </c>
      <c r="F147">
        <v>6.64</v>
      </c>
      <c r="G147" s="59"/>
      <c r="H147">
        <v>1.0000009999999999</v>
      </c>
      <c r="I147">
        <f t="shared" si="76"/>
        <v>1</v>
      </c>
      <c r="J147">
        <v>6.99</v>
      </c>
      <c r="K147" s="3">
        <v>6.76</v>
      </c>
      <c r="L147" s="59"/>
      <c r="P147" s="3"/>
      <c r="V147" s="59"/>
      <c r="AV147" s="3"/>
      <c r="AX147" s="63"/>
      <c r="AY147" s="63"/>
      <c r="AZ147" s="63"/>
      <c r="BA147" s="63"/>
    </row>
    <row r="148" spans="3:53" x14ac:dyDescent="0.25">
      <c r="G148" s="59"/>
      <c r="K148" s="3"/>
      <c r="L148" s="59"/>
      <c r="P148" s="3"/>
      <c r="V148" s="59"/>
      <c r="AX148" s="63"/>
      <c r="AY148" s="63"/>
      <c r="AZ148" s="63"/>
      <c r="BA148" s="63"/>
    </row>
    <row r="149" spans="3:53" x14ac:dyDescent="0.25">
      <c r="G149" s="59"/>
      <c r="K149" s="3"/>
      <c r="V149" s="59"/>
    </row>
    <row r="150" spans="3:53" x14ac:dyDescent="0.25">
      <c r="G150" s="59"/>
      <c r="K150" s="3"/>
      <c r="V150" s="59"/>
    </row>
    <row r="151" spans="3:53" x14ac:dyDescent="0.25">
      <c r="V151" s="59"/>
    </row>
    <row r="152" spans="3:53" x14ac:dyDescent="0.25">
      <c r="V152" s="59"/>
    </row>
  </sheetData>
  <phoneticPr fontId="6" type="noConversion"/>
  <hyperlinks>
    <hyperlink ref="BT42" location="Graphs!A42" display="Far left" xr:uid="{BC656964-3DE9-454D-83DC-B64E47FB46FF}"/>
    <hyperlink ref="A42" location="Graphs!CJ42" display="Non-dim Experiments" xr:uid="{5FCB56DC-9EEC-44C5-9BBA-1C707C64D608}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WaveData">
                <anchor moveWithCells="1" sizeWithCells="1">
                  <from>
                    <xdr:col>11</xdr:col>
                    <xdr:colOff>371475</xdr:colOff>
                    <xdr:row>125</xdr:row>
                    <xdr:rowOff>47625</xdr:rowOff>
                  </from>
                  <to>
                    <xdr:col>13</xdr:col>
                    <xdr:colOff>66675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WaveData">
                <anchor moveWithCells="1" sizeWithCells="1">
                  <from>
                    <xdr:col>40</xdr:col>
                    <xdr:colOff>533400</xdr:colOff>
                    <xdr:row>125</xdr:row>
                    <xdr:rowOff>0</xdr:rowOff>
                  </from>
                  <to>
                    <xdr:col>42</xdr:col>
                    <xdr:colOff>561975</xdr:colOff>
                    <xdr:row>127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IgnWaveData">
                <anchor moveWithCells="1" sizeWithCells="1">
                  <from>
                    <xdr:col>38</xdr:col>
                    <xdr:colOff>381000</xdr:colOff>
                    <xdr:row>125</xdr:row>
                    <xdr:rowOff>19050</xdr:rowOff>
                  </from>
                  <to>
                    <xdr:col>40</xdr:col>
                    <xdr:colOff>142875</xdr:colOff>
                    <xdr:row>127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IgnWaveData">
                <anchor moveWithCells="1" sizeWithCells="1">
                  <from>
                    <xdr:col>9</xdr:col>
                    <xdr:colOff>342900</xdr:colOff>
                    <xdr:row>125</xdr:row>
                    <xdr:rowOff>142875</xdr:rowOff>
                  </from>
                  <to>
                    <xdr:col>11</xdr:col>
                    <xdr:colOff>104775</xdr:colOff>
                    <xdr:row>127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E7B21-B9BD-4BE3-AC43-A4672F937D1F}">
  <sheetPr codeName="Sheet7"/>
  <dimension ref="A1:T29"/>
  <sheetViews>
    <sheetView workbookViewId="0">
      <selection activeCell="A22" sqref="A22"/>
    </sheetView>
  </sheetViews>
  <sheetFormatPr defaultRowHeight="15" x14ac:dyDescent="0.25"/>
  <cols>
    <col min="1" max="1" width="17.140625" bestFit="1" customWidth="1"/>
    <col min="2" max="2" width="12.42578125" customWidth="1"/>
    <col min="3" max="3" width="10.7109375" bestFit="1" customWidth="1"/>
    <col min="4" max="4" width="10.28515625" bestFit="1" customWidth="1"/>
    <col min="5" max="5" width="6.85546875" customWidth="1"/>
    <col min="6" max="6" width="7.42578125" customWidth="1"/>
    <col min="7" max="7" width="14.85546875" bestFit="1" customWidth="1"/>
    <col min="8" max="8" width="8.7109375" bestFit="1" customWidth="1"/>
    <col min="9" max="9" width="7.5703125" bestFit="1" customWidth="1"/>
  </cols>
  <sheetData>
    <row r="1" spans="1:20" ht="18.75" x14ac:dyDescent="0.3">
      <c r="A1" s="20" t="s">
        <v>253</v>
      </c>
      <c r="B1" s="8" t="s">
        <v>43</v>
      </c>
      <c r="C1" s="8"/>
      <c r="D1" s="3"/>
      <c r="E1" t="s">
        <v>7</v>
      </c>
      <c r="H1" t="s">
        <v>195</v>
      </c>
      <c r="I1" t="s">
        <v>196</v>
      </c>
      <c r="L1" s="8"/>
      <c r="M1" s="8"/>
      <c r="N1" s="3" t="s">
        <v>146</v>
      </c>
      <c r="O1" t="s">
        <v>8</v>
      </c>
      <c r="Q1" t="s">
        <v>193</v>
      </c>
    </row>
    <row r="2" spans="1:20" x14ac:dyDescent="0.25">
      <c r="A2" s="3" t="s">
        <v>0</v>
      </c>
      <c r="B2" s="8" t="s">
        <v>44</v>
      </c>
      <c r="C2" s="8" t="s">
        <v>45</v>
      </c>
      <c r="D2" s="3" t="s">
        <v>46</v>
      </c>
      <c r="E2" s="8" t="s">
        <v>38</v>
      </c>
      <c r="F2" s="8" t="s">
        <v>39</v>
      </c>
      <c r="G2" t="s">
        <v>1</v>
      </c>
      <c r="H2" t="s">
        <v>2</v>
      </c>
      <c r="I2" t="s">
        <v>5</v>
      </c>
      <c r="J2" t="s">
        <v>241</v>
      </c>
      <c r="K2" t="s">
        <v>240</v>
      </c>
      <c r="L2" t="s">
        <v>3</v>
      </c>
      <c r="M2" s="8" t="s">
        <v>4</v>
      </c>
      <c r="N2" s="3" t="s">
        <v>145</v>
      </c>
      <c r="O2" s="4" t="s">
        <v>9</v>
      </c>
      <c r="P2" s="4" t="s">
        <v>10</v>
      </c>
      <c r="Q2" s="4" t="s">
        <v>36</v>
      </c>
      <c r="R2" s="4" t="s">
        <v>122</v>
      </c>
      <c r="S2" s="4" t="s">
        <v>57</v>
      </c>
      <c r="T2" s="4" t="s">
        <v>21</v>
      </c>
    </row>
    <row r="3" spans="1:20" x14ac:dyDescent="0.25">
      <c r="A3" s="3" t="s">
        <v>256</v>
      </c>
      <c r="D3" s="3"/>
      <c r="N3" s="3"/>
    </row>
    <row r="4" spans="1:20" x14ac:dyDescent="0.25">
      <c r="A4" s="3" t="s">
        <v>254</v>
      </c>
      <c r="C4" t="s">
        <v>255</v>
      </c>
      <c r="D4" s="3"/>
      <c r="F4" t="s">
        <v>271</v>
      </c>
      <c r="H4" t="s">
        <v>272</v>
      </c>
      <c r="N4" s="3"/>
    </row>
    <row r="5" spans="1:20" x14ac:dyDescent="0.25">
      <c r="A5" s="3" t="s">
        <v>270</v>
      </c>
      <c r="D5" s="3"/>
      <c r="N5" s="3"/>
    </row>
    <row r="6" spans="1:20" x14ac:dyDescent="0.25">
      <c r="A6" s="3" t="s">
        <v>257</v>
      </c>
      <c r="B6" t="s">
        <v>258</v>
      </c>
      <c r="D6" s="3"/>
      <c r="E6" t="s">
        <v>259</v>
      </c>
      <c r="N6" s="3"/>
    </row>
    <row r="7" spans="1:20" x14ac:dyDescent="0.25">
      <c r="A7" s="3"/>
      <c r="B7" t="s">
        <v>260</v>
      </c>
      <c r="C7">
        <v>9.81</v>
      </c>
      <c r="D7" s="3"/>
      <c r="E7" t="s">
        <v>260</v>
      </c>
      <c r="F7">
        <v>9.81</v>
      </c>
      <c r="N7" s="3"/>
    </row>
    <row r="8" spans="1:20" x14ac:dyDescent="0.25">
      <c r="A8" s="3"/>
      <c r="B8" t="s">
        <v>261</v>
      </c>
      <c r="C8" s="32">
        <f>1/500</f>
        <v>2E-3</v>
      </c>
      <c r="D8" s="3"/>
      <c r="E8" t="s">
        <v>261</v>
      </c>
      <c r="F8">
        <f>C8</f>
        <v>2E-3</v>
      </c>
      <c r="N8" s="3"/>
    </row>
    <row r="9" spans="1:20" x14ac:dyDescent="0.25">
      <c r="A9" s="3"/>
      <c r="B9" t="s">
        <v>262</v>
      </c>
      <c r="C9">
        <v>2E-3</v>
      </c>
      <c r="D9" s="3"/>
      <c r="E9" t="s">
        <v>262</v>
      </c>
      <c r="F9">
        <v>2.3500000000000001E-3</v>
      </c>
      <c r="N9" s="3"/>
    </row>
    <row r="10" spans="1:20" x14ac:dyDescent="0.25">
      <c r="A10" s="3"/>
      <c r="B10" t="s">
        <v>263</v>
      </c>
      <c r="C10" s="32">
        <v>200</v>
      </c>
      <c r="D10" s="3"/>
      <c r="E10" t="s">
        <v>263</v>
      </c>
      <c r="F10">
        <f>C10</f>
        <v>200</v>
      </c>
      <c r="N10" s="3"/>
    </row>
    <row r="11" spans="1:20" x14ac:dyDescent="0.25">
      <c r="A11" s="3"/>
      <c r="B11" t="s">
        <v>264</v>
      </c>
      <c r="C11" s="2">
        <v>1.5889999999999999E-5</v>
      </c>
      <c r="D11" s="3"/>
      <c r="E11" t="s">
        <v>264</v>
      </c>
      <c r="F11" s="2">
        <f>C11</f>
        <v>1.5889999999999999E-5</v>
      </c>
      <c r="N11" s="3"/>
    </row>
    <row r="12" spans="1:20" x14ac:dyDescent="0.25">
      <c r="A12" s="3"/>
      <c r="B12" t="s">
        <v>265</v>
      </c>
      <c r="C12" s="31">
        <f>C11/C14</f>
        <v>2.27E-5</v>
      </c>
      <c r="D12" s="3"/>
      <c r="E12" t="s">
        <v>265</v>
      </c>
      <c r="F12" s="2">
        <f>C12</f>
        <v>2.27E-5</v>
      </c>
      <c r="N12" s="3"/>
    </row>
    <row r="13" spans="1:20" x14ac:dyDescent="0.25">
      <c r="A13" s="3"/>
      <c r="B13" t="s">
        <v>266</v>
      </c>
      <c r="C13" s="2">
        <v>2.63E-3</v>
      </c>
      <c r="D13" s="3"/>
      <c r="E13" t="s">
        <v>266</v>
      </c>
      <c r="F13" s="2">
        <f>C13</f>
        <v>2.63E-3</v>
      </c>
      <c r="N13" s="3"/>
    </row>
    <row r="14" spans="1:20" x14ac:dyDescent="0.25">
      <c r="A14" s="3"/>
      <c r="B14" t="s">
        <v>267</v>
      </c>
      <c r="C14">
        <v>0.7</v>
      </c>
      <c r="D14" s="3"/>
      <c r="E14" t="s">
        <v>267</v>
      </c>
      <c r="F14" s="2">
        <f>C14</f>
        <v>0.7</v>
      </c>
      <c r="N14" s="3"/>
    </row>
    <row r="15" spans="1:20" x14ac:dyDescent="0.25">
      <c r="A15" s="3"/>
      <c r="B15" t="s">
        <v>268</v>
      </c>
      <c r="C15">
        <f>C7*C8*C10*C9^3/(C11*C12)</f>
        <v>87.030049653038674</v>
      </c>
      <c r="D15" s="3"/>
      <c r="E15" t="s">
        <v>268</v>
      </c>
      <c r="F15">
        <f>F7*F8*F10*F9^3/(F11*F12)</f>
        <v>141.18313820511614</v>
      </c>
      <c r="N15" s="3"/>
    </row>
    <row r="16" spans="1:20" x14ac:dyDescent="0.25">
      <c r="A16" s="3"/>
      <c r="B16" t="s">
        <v>269</v>
      </c>
      <c r="C16">
        <f>C13/C9*(0.68+(0.67*C15^(0.25))/(1+(0.492/C14)^(9/16))^(4/9))</f>
        <v>2.9563525686874197</v>
      </c>
      <c r="D16" s="3"/>
      <c r="E16" t="s">
        <v>269</v>
      </c>
      <c r="F16">
        <f>F13/F9*(0.54*F15^(0.25))</f>
        <v>2.083182669112686</v>
      </c>
      <c r="N16" s="3"/>
    </row>
    <row r="17" spans="1:16" x14ac:dyDescent="0.25">
      <c r="A17" s="3"/>
      <c r="D17" s="3"/>
      <c r="N17" s="3"/>
    </row>
    <row r="18" spans="1:16" x14ac:dyDescent="0.25">
      <c r="A18" s="3">
        <v>1</v>
      </c>
      <c r="B18">
        <v>1070</v>
      </c>
      <c r="C18">
        <v>875</v>
      </c>
      <c r="D18" s="3">
        <v>150</v>
      </c>
      <c r="E18" s="4">
        <v>150</v>
      </c>
      <c r="F18" s="4">
        <v>100</v>
      </c>
      <c r="G18" s="4">
        <v>3.82</v>
      </c>
      <c r="H18" t="s">
        <v>79</v>
      </c>
      <c r="I18" t="s">
        <v>79</v>
      </c>
      <c r="J18" t="s">
        <v>79</v>
      </c>
      <c r="K18" t="s">
        <v>79</v>
      </c>
      <c r="L18" t="s">
        <v>79</v>
      </c>
      <c r="M18" t="s">
        <v>79</v>
      </c>
      <c r="N18" s="3" t="s">
        <v>79</v>
      </c>
      <c r="O18" s="4" t="s">
        <v>79</v>
      </c>
      <c r="P18" s="4" t="s">
        <v>79</v>
      </c>
    </row>
    <row r="19" spans="1:16" x14ac:dyDescent="0.25">
      <c r="A19" s="3">
        <v>2</v>
      </c>
      <c r="B19">
        <v>1070</v>
      </c>
      <c r="C19">
        <v>875</v>
      </c>
      <c r="D19" s="3">
        <v>1</v>
      </c>
      <c r="E19" s="4">
        <v>150</v>
      </c>
      <c r="F19" s="4">
        <v>100</v>
      </c>
      <c r="G19" s="4">
        <v>3.82</v>
      </c>
      <c r="N19" s="3"/>
    </row>
    <row r="20" spans="1:16" x14ac:dyDescent="0.25">
      <c r="A20" s="3">
        <v>3</v>
      </c>
      <c r="B20">
        <v>1070</v>
      </c>
      <c r="C20">
        <v>875</v>
      </c>
      <c r="D20" s="3">
        <v>1</v>
      </c>
      <c r="E20" s="4">
        <v>150</v>
      </c>
      <c r="F20" s="4">
        <v>100</v>
      </c>
      <c r="G20">
        <v>1.1499999999999999</v>
      </c>
      <c r="N20" s="3"/>
    </row>
    <row r="21" spans="1:16" x14ac:dyDescent="0.25">
      <c r="A21" s="3">
        <v>4</v>
      </c>
      <c r="B21">
        <v>1500</v>
      </c>
      <c r="C21">
        <v>875</v>
      </c>
      <c r="D21" s="3">
        <v>0.7</v>
      </c>
      <c r="E21" s="4">
        <v>150</v>
      </c>
      <c r="F21" s="4">
        <v>100</v>
      </c>
      <c r="G21">
        <v>1.53</v>
      </c>
      <c r="H21" t="s">
        <v>273</v>
      </c>
      <c r="N21" s="3"/>
    </row>
    <row r="22" spans="1:16" x14ac:dyDescent="0.25">
      <c r="A22" s="3">
        <v>5</v>
      </c>
      <c r="B22">
        <v>1500</v>
      </c>
      <c r="C22">
        <v>875</v>
      </c>
      <c r="D22" s="3">
        <v>1</v>
      </c>
      <c r="E22" s="4">
        <v>150</v>
      </c>
      <c r="F22" s="4">
        <v>100</v>
      </c>
      <c r="G22">
        <v>1.53</v>
      </c>
      <c r="H22" t="s">
        <v>274</v>
      </c>
      <c r="N22" s="3"/>
    </row>
    <row r="23" spans="1:16" x14ac:dyDescent="0.25">
      <c r="A23" s="3"/>
      <c r="D23" s="3"/>
      <c r="N23" s="3"/>
    </row>
    <row r="24" spans="1:16" x14ac:dyDescent="0.25">
      <c r="A24" s="3"/>
      <c r="D24" s="3"/>
      <c r="N24" s="3"/>
    </row>
    <row r="25" spans="1:16" x14ac:dyDescent="0.25">
      <c r="A25" s="3"/>
      <c r="D25" s="3"/>
      <c r="N25" s="3"/>
    </row>
    <row r="26" spans="1:16" x14ac:dyDescent="0.25">
      <c r="A26" s="3"/>
      <c r="D26" s="3"/>
      <c r="N26" s="3"/>
    </row>
    <row r="27" spans="1:16" x14ac:dyDescent="0.25">
      <c r="A27" s="3"/>
      <c r="D27" s="3"/>
      <c r="N27" s="3"/>
    </row>
    <row r="28" spans="1:16" x14ac:dyDescent="0.25">
      <c r="A28" s="3"/>
      <c r="D28" s="3"/>
      <c r="N28" s="3"/>
    </row>
    <row r="29" spans="1:16" x14ac:dyDescent="0.25">
      <c r="A29" s="3"/>
      <c r="D29" s="3"/>
      <c r="N29" s="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4848E-E3A5-4386-B339-1C6B1D214A6A}">
  <sheetPr codeName="Sheet9"/>
  <dimension ref="A1:W108"/>
  <sheetViews>
    <sheetView workbookViewId="0">
      <selection activeCell="V6" sqref="V6"/>
    </sheetView>
  </sheetViews>
  <sheetFormatPr defaultRowHeight="15" x14ac:dyDescent="0.25"/>
  <sheetData>
    <row r="1" spans="1:23" x14ac:dyDescent="0.25">
      <c r="A1" t="s">
        <v>4</v>
      </c>
      <c r="B1" s="2">
        <v>4890000</v>
      </c>
      <c r="M1" t="s">
        <v>4</v>
      </c>
      <c r="N1" s="2">
        <v>489000</v>
      </c>
    </row>
    <row r="2" spans="1:23" x14ac:dyDescent="0.25">
      <c r="A2" t="s">
        <v>164</v>
      </c>
      <c r="B2">
        <v>48000</v>
      </c>
      <c r="M2" t="s">
        <v>164</v>
      </c>
      <c r="N2">
        <v>48000</v>
      </c>
    </row>
    <row r="3" spans="1:23" x14ac:dyDescent="0.25">
      <c r="A3" t="s">
        <v>167</v>
      </c>
      <c r="B3" s="2">
        <v>2780000</v>
      </c>
      <c r="M3" t="s">
        <v>167</v>
      </c>
      <c r="N3" s="2">
        <v>2780000</v>
      </c>
    </row>
    <row r="4" spans="1:23" x14ac:dyDescent="0.25">
      <c r="A4" t="s">
        <v>169</v>
      </c>
      <c r="B4" s="2">
        <v>3000</v>
      </c>
      <c r="M4" t="s">
        <v>169</v>
      </c>
      <c r="N4" s="2">
        <v>3000</v>
      </c>
    </row>
    <row r="5" spans="1:23" x14ac:dyDescent="0.25">
      <c r="B5" s="2"/>
    </row>
    <row r="6" spans="1:23" x14ac:dyDescent="0.25">
      <c r="A6" t="s">
        <v>168</v>
      </c>
      <c r="B6" s="28">
        <v>300</v>
      </c>
      <c r="E6" t="s">
        <v>168</v>
      </c>
      <c r="F6" s="28">
        <v>600</v>
      </c>
      <c r="I6" t="s">
        <v>168</v>
      </c>
      <c r="J6" s="28">
        <v>600</v>
      </c>
      <c r="M6" t="s">
        <v>168</v>
      </c>
      <c r="N6" s="28">
        <v>501</v>
      </c>
      <c r="Q6" t="s">
        <v>168</v>
      </c>
      <c r="R6" s="28">
        <v>901</v>
      </c>
      <c r="U6" t="s">
        <v>168</v>
      </c>
      <c r="V6" s="28">
        <v>790</v>
      </c>
    </row>
    <row r="7" spans="1:23" x14ac:dyDescent="0.25">
      <c r="A7" t="s">
        <v>149</v>
      </c>
      <c r="B7" t="s">
        <v>165</v>
      </c>
      <c r="C7" t="s">
        <v>166</v>
      </c>
      <c r="E7" t="s">
        <v>149</v>
      </c>
      <c r="F7" t="s">
        <v>165</v>
      </c>
      <c r="G7" t="s">
        <v>166</v>
      </c>
      <c r="I7" t="s">
        <v>149</v>
      </c>
      <c r="J7" t="s">
        <v>165</v>
      </c>
      <c r="K7" t="s">
        <v>166</v>
      </c>
      <c r="M7" t="s">
        <v>149</v>
      </c>
      <c r="N7" t="s">
        <v>165</v>
      </c>
      <c r="O7" t="s">
        <v>166</v>
      </c>
      <c r="Q7" t="s">
        <v>149</v>
      </c>
      <c r="R7" t="s">
        <v>165</v>
      </c>
      <c r="S7" t="s">
        <v>166</v>
      </c>
      <c r="U7" t="s">
        <v>149</v>
      </c>
      <c r="V7" t="s">
        <v>165</v>
      </c>
      <c r="W7" t="s">
        <v>166</v>
      </c>
    </row>
    <row r="8" spans="1:23" x14ac:dyDescent="0.25">
      <c r="A8">
        <v>0</v>
      </c>
      <c r="B8" s="2">
        <f>$B$1*(1-A8)*EXP(-$B$2/8.314/B$6)</f>
        <v>2.1451842905892381E-2</v>
      </c>
      <c r="C8" s="2">
        <f>B8*$B$3*$B$4</f>
        <v>178908369.83514243</v>
      </c>
      <c r="E8">
        <v>0</v>
      </c>
      <c r="F8" s="2">
        <f>$B$1*(1-E8)*EXP(-$B$2/8.314/F$6)</f>
        <v>323.88194116037675</v>
      </c>
      <c r="G8" s="2">
        <f>F8*$B$3*$B$4</f>
        <v>2701175389277.542</v>
      </c>
      <c r="I8">
        <v>0</v>
      </c>
      <c r="J8" s="2">
        <f>$B$1*(1-I8)*EXP(-$B$2/8.314/J$6)</f>
        <v>323.88194116037675</v>
      </c>
      <c r="K8" s="2">
        <f>J8*$B$3*$B$4</f>
        <v>2701175389277.542</v>
      </c>
      <c r="M8">
        <v>0</v>
      </c>
      <c r="N8" s="2">
        <f>$N$1*(1-M8)*EXP(-$N$2/8.314/N$6)</f>
        <v>4.8373966856531929</v>
      </c>
      <c r="O8" s="2">
        <f>N8*$N$3*$N$4</f>
        <v>40343888358.347626</v>
      </c>
      <c r="Q8">
        <v>0</v>
      </c>
      <c r="R8" s="2">
        <f>$N$1*(1-Q8)*EXP(-$N$2/8.314/R$6)</f>
        <v>806.21864499717947</v>
      </c>
      <c r="S8" s="2">
        <f>R8*$N$3*$N$4</f>
        <v>6723863499276.4766</v>
      </c>
      <c r="U8">
        <v>0</v>
      </c>
      <c r="V8" s="2">
        <f>$N$1*(1-U8)*EXP(-$N$2/8.314/V$6)</f>
        <v>327.67548703087408</v>
      </c>
      <c r="W8" s="2">
        <f>V8*$N$3*$N$4</f>
        <v>2732813561837.4897</v>
      </c>
    </row>
    <row r="9" spans="1:23" x14ac:dyDescent="0.25">
      <c r="A9">
        <v>0.01</v>
      </c>
      <c r="B9" s="2">
        <f t="shared" ref="B9:B72" si="0">$B$1*(1-A9)*EXP(-$B$2/8.314/B$6)</f>
        <v>2.1237324476833457E-2</v>
      </c>
      <c r="C9" s="2">
        <f t="shared" ref="C9:C72" si="1">B9*$B$3*$B$4</f>
        <v>177119286.13679102</v>
      </c>
      <c r="E9">
        <v>0.01</v>
      </c>
      <c r="F9" s="2">
        <f t="shared" ref="F9:F72" si="2">$B$1*(1-E9)*EXP(-$B$2/8.314/F$6)</f>
        <v>320.64312174877301</v>
      </c>
      <c r="G9" s="2">
        <f t="shared" ref="G9:G72" si="3">F9*$B$3*$B$4</f>
        <v>2674163635384.7671</v>
      </c>
      <c r="I9">
        <v>0.01</v>
      </c>
      <c r="J9" s="2">
        <f t="shared" ref="J9:J72" si="4">$B$1*(1-I9)*EXP(-$B$2/8.314/J$6)</f>
        <v>320.64312174877301</v>
      </c>
      <c r="K9" s="2">
        <f t="shared" ref="K9:K72" si="5">J9*$B$3*$B$4</f>
        <v>2674163635384.7671</v>
      </c>
      <c r="M9">
        <v>0.01</v>
      </c>
      <c r="N9" s="2">
        <f t="shared" ref="N9:N72" si="6">$N$1*(1-M9)*EXP(-$N$2/8.314/N$6)</f>
        <v>4.7890227187966614</v>
      </c>
      <c r="O9" s="2">
        <f t="shared" ref="O9:O72" si="7">N9*$N$3*$N$4</f>
        <v>39940449474.764153</v>
      </c>
      <c r="Q9">
        <v>0.01</v>
      </c>
      <c r="R9" s="2">
        <f t="shared" ref="R9:R72" si="8">$N$1*(1-Q9)*EXP(-$N$2/8.314/R$6)</f>
        <v>798.15645854720765</v>
      </c>
      <c r="S9" s="2">
        <f t="shared" ref="S9:S72" si="9">R9*$N$3*$N$4</f>
        <v>6656624864283.7119</v>
      </c>
      <c r="U9">
        <v>0.01</v>
      </c>
      <c r="V9" s="2">
        <f t="shared" ref="V9:V72" si="10">$N$1*(1-U9)*EXP(-$N$2/8.314/V$6)</f>
        <v>324.39873216056532</v>
      </c>
      <c r="W9" s="2">
        <f t="shared" ref="W9:W72" si="11">V9*$N$3*$N$4</f>
        <v>2705485426219.1147</v>
      </c>
    </row>
    <row r="10" spans="1:23" x14ac:dyDescent="0.25">
      <c r="A10">
        <v>0.02</v>
      </c>
      <c r="B10" s="2">
        <f t="shared" si="0"/>
        <v>2.1022806047774536E-2</v>
      </c>
      <c r="C10" s="2">
        <f t="shared" si="1"/>
        <v>175330202.43843964</v>
      </c>
      <c r="E10">
        <v>0.02</v>
      </c>
      <c r="F10" s="2">
        <f t="shared" si="2"/>
        <v>317.40430233716921</v>
      </c>
      <c r="G10" s="2">
        <f t="shared" si="3"/>
        <v>2647151881491.9912</v>
      </c>
      <c r="I10">
        <v>0.02</v>
      </c>
      <c r="J10" s="2">
        <f t="shared" si="4"/>
        <v>317.40430233716921</v>
      </c>
      <c r="K10" s="2">
        <f t="shared" si="5"/>
        <v>2647151881491.9912</v>
      </c>
      <c r="M10">
        <v>0.02</v>
      </c>
      <c r="N10" s="2">
        <f t="shared" si="6"/>
        <v>4.740648751940129</v>
      </c>
      <c r="O10" s="2">
        <f t="shared" si="7"/>
        <v>39537010591.180679</v>
      </c>
      <c r="Q10">
        <v>0.02</v>
      </c>
      <c r="R10" s="2">
        <f t="shared" si="8"/>
        <v>790.09427209723583</v>
      </c>
      <c r="S10" s="2">
        <f t="shared" si="9"/>
        <v>6589386229290.9463</v>
      </c>
      <c r="U10">
        <v>0.02</v>
      </c>
      <c r="V10" s="2">
        <f t="shared" si="10"/>
        <v>321.12197729025661</v>
      </c>
      <c r="W10" s="2">
        <f t="shared" si="11"/>
        <v>2678157290600.7397</v>
      </c>
    </row>
    <row r="11" spans="1:23" x14ac:dyDescent="0.25">
      <c r="A11">
        <v>0.03</v>
      </c>
      <c r="B11" s="2">
        <f t="shared" si="0"/>
        <v>2.0808287618715612E-2</v>
      </c>
      <c r="C11" s="2">
        <f t="shared" si="1"/>
        <v>173541118.74008819</v>
      </c>
      <c r="E11">
        <v>0.03</v>
      </c>
      <c r="F11" s="2">
        <f t="shared" si="2"/>
        <v>314.16548292556547</v>
      </c>
      <c r="G11" s="2">
        <f t="shared" si="3"/>
        <v>2620140127599.2158</v>
      </c>
      <c r="I11">
        <v>0.03</v>
      </c>
      <c r="J11" s="2">
        <f t="shared" si="4"/>
        <v>314.16548292556547</v>
      </c>
      <c r="K11" s="2">
        <f t="shared" si="5"/>
        <v>2620140127599.2158</v>
      </c>
      <c r="M11">
        <v>0.03</v>
      </c>
      <c r="N11" s="2">
        <f t="shared" si="6"/>
        <v>4.6922747850835975</v>
      </c>
      <c r="O11" s="2">
        <f t="shared" si="7"/>
        <v>39133571707.597198</v>
      </c>
      <c r="Q11">
        <v>0.03</v>
      </c>
      <c r="R11" s="2">
        <f t="shared" si="8"/>
        <v>782.03208564726413</v>
      </c>
      <c r="S11" s="2">
        <f t="shared" si="9"/>
        <v>6522147594298.1826</v>
      </c>
      <c r="U11">
        <v>0.03</v>
      </c>
      <c r="V11" s="2">
        <f t="shared" si="10"/>
        <v>317.84522241994785</v>
      </c>
      <c r="W11" s="2">
        <f t="shared" si="11"/>
        <v>2650829154982.3652</v>
      </c>
    </row>
    <row r="12" spans="1:23" x14ac:dyDescent="0.25">
      <c r="A12">
        <v>0.04</v>
      </c>
      <c r="B12" s="2">
        <f t="shared" si="0"/>
        <v>2.0593769189656688E-2</v>
      </c>
      <c r="C12" s="2">
        <f t="shared" si="1"/>
        <v>171752035.04173678</v>
      </c>
      <c r="E12">
        <v>0.04</v>
      </c>
      <c r="F12" s="2">
        <f t="shared" si="2"/>
        <v>310.92666351396167</v>
      </c>
      <c r="G12" s="2">
        <f t="shared" si="3"/>
        <v>2593128373706.4404</v>
      </c>
      <c r="I12">
        <v>0.04</v>
      </c>
      <c r="J12" s="2">
        <f t="shared" si="4"/>
        <v>310.92666351396167</v>
      </c>
      <c r="K12" s="2">
        <f t="shared" si="5"/>
        <v>2593128373706.4404</v>
      </c>
      <c r="M12">
        <v>0.04</v>
      </c>
      <c r="N12" s="2">
        <f t="shared" si="6"/>
        <v>4.6439008182270651</v>
      </c>
      <c r="O12" s="2">
        <f t="shared" si="7"/>
        <v>38730132824.013725</v>
      </c>
      <c r="Q12">
        <v>0.04</v>
      </c>
      <c r="R12" s="2">
        <f t="shared" si="8"/>
        <v>773.96989919729231</v>
      </c>
      <c r="S12" s="2">
        <f t="shared" si="9"/>
        <v>6454908959305.418</v>
      </c>
      <c r="U12">
        <v>0.04</v>
      </c>
      <c r="V12" s="2">
        <f t="shared" si="10"/>
        <v>314.56846754963914</v>
      </c>
      <c r="W12" s="2">
        <f t="shared" si="11"/>
        <v>2623501019363.9902</v>
      </c>
    </row>
    <row r="13" spans="1:23" x14ac:dyDescent="0.25">
      <c r="A13">
        <v>0.05</v>
      </c>
      <c r="B13" s="2">
        <f t="shared" si="0"/>
        <v>2.0379250760597763E-2</v>
      </c>
      <c r="C13" s="2">
        <f t="shared" si="1"/>
        <v>169962951.34338534</v>
      </c>
      <c r="E13">
        <v>0.05</v>
      </c>
      <c r="F13" s="2">
        <f t="shared" si="2"/>
        <v>307.68784410235793</v>
      </c>
      <c r="G13" s="2">
        <f t="shared" si="3"/>
        <v>2566116619813.665</v>
      </c>
      <c r="I13">
        <v>0.05</v>
      </c>
      <c r="J13" s="2">
        <f t="shared" si="4"/>
        <v>307.68784410235793</v>
      </c>
      <c r="K13" s="2">
        <f t="shared" si="5"/>
        <v>2566116619813.665</v>
      </c>
      <c r="M13">
        <v>0.05</v>
      </c>
      <c r="N13" s="2">
        <f t="shared" si="6"/>
        <v>4.5955268513705336</v>
      </c>
      <c r="O13" s="2">
        <f t="shared" si="7"/>
        <v>38326693940.430244</v>
      </c>
      <c r="Q13">
        <v>0.05</v>
      </c>
      <c r="R13" s="2">
        <f t="shared" si="8"/>
        <v>765.90771274732049</v>
      </c>
      <c r="S13" s="2">
        <f t="shared" si="9"/>
        <v>6387670324312.6533</v>
      </c>
      <c r="U13">
        <v>0.05</v>
      </c>
      <c r="V13" s="2">
        <f t="shared" si="10"/>
        <v>311.29171267933037</v>
      </c>
      <c r="W13" s="2">
        <f t="shared" si="11"/>
        <v>2596172883745.6157</v>
      </c>
    </row>
    <row r="14" spans="1:23" x14ac:dyDescent="0.25">
      <c r="A14">
        <v>0.06</v>
      </c>
      <c r="B14" s="2">
        <f t="shared" si="0"/>
        <v>2.0164732331538839E-2</v>
      </c>
      <c r="C14" s="2">
        <f t="shared" si="1"/>
        <v>168173867.64503393</v>
      </c>
      <c r="E14">
        <v>0.06</v>
      </c>
      <c r="F14" s="2">
        <f t="shared" si="2"/>
        <v>304.44902469075413</v>
      </c>
      <c r="G14" s="2">
        <f t="shared" si="3"/>
        <v>2539104865920.8892</v>
      </c>
      <c r="I14">
        <v>0.06</v>
      </c>
      <c r="J14" s="2">
        <f t="shared" si="4"/>
        <v>304.44902469075413</v>
      </c>
      <c r="K14" s="2">
        <f t="shared" si="5"/>
        <v>2539104865920.8892</v>
      </c>
      <c r="M14">
        <v>0.06</v>
      </c>
      <c r="N14" s="2">
        <f t="shared" si="6"/>
        <v>4.5471528845140012</v>
      </c>
      <c r="O14" s="2">
        <f t="shared" si="7"/>
        <v>37923255056.846771</v>
      </c>
      <c r="Q14">
        <v>0.06</v>
      </c>
      <c r="R14" s="2">
        <f t="shared" si="8"/>
        <v>757.84552629734867</v>
      </c>
      <c r="S14" s="2">
        <f t="shared" si="9"/>
        <v>6320431689319.8877</v>
      </c>
      <c r="U14">
        <v>0.06</v>
      </c>
      <c r="V14" s="2">
        <f t="shared" si="10"/>
        <v>308.01495780902161</v>
      </c>
      <c r="W14" s="2">
        <f t="shared" si="11"/>
        <v>2568844748127.2402</v>
      </c>
    </row>
    <row r="15" spans="1:23" x14ac:dyDescent="0.25">
      <c r="A15">
        <v>7.0000000000000007E-2</v>
      </c>
      <c r="B15" s="2">
        <f t="shared" si="0"/>
        <v>1.9950213902479915E-2</v>
      </c>
      <c r="C15" s="2">
        <f t="shared" si="1"/>
        <v>166384783.94668248</v>
      </c>
      <c r="E15">
        <v>7.0000000000000007E-2</v>
      </c>
      <c r="F15" s="2">
        <f t="shared" si="2"/>
        <v>301.21020527915039</v>
      </c>
      <c r="G15" s="2">
        <f t="shared" si="3"/>
        <v>2512093112028.1143</v>
      </c>
      <c r="I15">
        <v>7.0000000000000007E-2</v>
      </c>
      <c r="J15" s="2">
        <f t="shared" si="4"/>
        <v>301.21020527915039</v>
      </c>
      <c r="K15" s="2">
        <f t="shared" si="5"/>
        <v>2512093112028.1143</v>
      </c>
      <c r="M15">
        <v>7.0000000000000007E-2</v>
      </c>
      <c r="N15" s="2">
        <f t="shared" si="6"/>
        <v>4.4987789176574688</v>
      </c>
      <c r="O15" s="2">
        <f t="shared" si="7"/>
        <v>37519816173.26329</v>
      </c>
      <c r="Q15">
        <v>7.0000000000000007E-2</v>
      </c>
      <c r="R15" s="2">
        <f t="shared" si="8"/>
        <v>749.78333984737685</v>
      </c>
      <c r="S15" s="2">
        <f t="shared" si="9"/>
        <v>6253193054327.123</v>
      </c>
      <c r="U15">
        <v>7.0000000000000007E-2</v>
      </c>
      <c r="V15" s="2">
        <f t="shared" si="10"/>
        <v>304.73820293871285</v>
      </c>
      <c r="W15" s="2">
        <f t="shared" si="11"/>
        <v>2541516612508.8652</v>
      </c>
    </row>
    <row r="16" spans="1:23" x14ac:dyDescent="0.25">
      <c r="A16">
        <v>0.08</v>
      </c>
      <c r="B16" s="2">
        <f t="shared" si="0"/>
        <v>1.9735695473420991E-2</v>
      </c>
      <c r="C16" s="2">
        <f t="shared" si="1"/>
        <v>164595700.24833107</v>
      </c>
      <c r="E16">
        <v>0.08</v>
      </c>
      <c r="F16" s="2">
        <f t="shared" si="2"/>
        <v>297.97138586754659</v>
      </c>
      <c r="G16" s="2">
        <f t="shared" si="3"/>
        <v>2485081358135.3384</v>
      </c>
      <c r="I16">
        <v>0.08</v>
      </c>
      <c r="J16" s="2">
        <f t="shared" si="4"/>
        <v>297.97138586754659</v>
      </c>
      <c r="K16" s="2">
        <f t="shared" si="5"/>
        <v>2485081358135.3384</v>
      </c>
      <c r="M16">
        <v>0.08</v>
      </c>
      <c r="N16" s="2">
        <f t="shared" si="6"/>
        <v>4.4504049508009373</v>
      </c>
      <c r="O16" s="2">
        <f t="shared" si="7"/>
        <v>37116377289.679817</v>
      </c>
      <c r="Q16">
        <v>0.08</v>
      </c>
      <c r="R16" s="2">
        <f t="shared" si="8"/>
        <v>741.72115339740515</v>
      </c>
      <c r="S16" s="2">
        <f t="shared" si="9"/>
        <v>6185954419334.3594</v>
      </c>
      <c r="U16">
        <v>0.08</v>
      </c>
      <c r="V16" s="2">
        <f t="shared" si="10"/>
        <v>301.46144806840414</v>
      </c>
      <c r="W16" s="2">
        <f t="shared" si="11"/>
        <v>2514188476890.4907</v>
      </c>
    </row>
    <row r="17" spans="1:23" x14ac:dyDescent="0.25">
      <c r="A17">
        <v>0.09</v>
      </c>
      <c r="B17" s="2">
        <f t="shared" si="0"/>
        <v>1.9521177044362067E-2</v>
      </c>
      <c r="C17" s="2">
        <f t="shared" si="1"/>
        <v>162806616.54997963</v>
      </c>
      <c r="E17">
        <v>0.09</v>
      </c>
      <c r="F17" s="2">
        <f t="shared" si="2"/>
        <v>294.73256645594284</v>
      </c>
      <c r="G17" s="2">
        <f t="shared" si="3"/>
        <v>2458069604242.5635</v>
      </c>
      <c r="I17">
        <v>0.09</v>
      </c>
      <c r="J17" s="2">
        <f t="shared" si="4"/>
        <v>294.73256645594284</v>
      </c>
      <c r="K17" s="2">
        <f t="shared" si="5"/>
        <v>2458069604242.5635</v>
      </c>
      <c r="M17">
        <v>0.09</v>
      </c>
      <c r="N17" s="2">
        <f t="shared" si="6"/>
        <v>4.4020309839444058</v>
      </c>
      <c r="O17" s="2">
        <f t="shared" si="7"/>
        <v>36712938406.096344</v>
      </c>
      <c r="Q17">
        <v>0.09</v>
      </c>
      <c r="R17" s="2">
        <f t="shared" si="8"/>
        <v>733.65896694743333</v>
      </c>
      <c r="S17" s="2">
        <f t="shared" si="9"/>
        <v>6118715784341.5938</v>
      </c>
      <c r="U17">
        <v>0.09</v>
      </c>
      <c r="V17" s="2">
        <f t="shared" si="10"/>
        <v>298.18469319809543</v>
      </c>
      <c r="W17" s="2">
        <f t="shared" si="11"/>
        <v>2486860341272.1157</v>
      </c>
    </row>
    <row r="18" spans="1:23" x14ac:dyDescent="0.25">
      <c r="A18">
        <v>0.1</v>
      </c>
      <c r="B18" s="2">
        <f t="shared" si="0"/>
        <v>1.9306658615303143E-2</v>
      </c>
      <c r="C18" s="2">
        <f t="shared" si="1"/>
        <v>161017532.85162821</v>
      </c>
      <c r="E18">
        <v>0.1</v>
      </c>
      <c r="F18" s="2">
        <f t="shared" si="2"/>
        <v>291.4937470443391</v>
      </c>
      <c r="G18" s="2">
        <f t="shared" si="3"/>
        <v>2431057850349.7881</v>
      </c>
      <c r="I18">
        <v>0.1</v>
      </c>
      <c r="J18" s="2">
        <f t="shared" si="4"/>
        <v>291.4937470443391</v>
      </c>
      <c r="K18" s="2">
        <f t="shared" si="5"/>
        <v>2431057850349.7881</v>
      </c>
      <c r="M18">
        <v>0.1</v>
      </c>
      <c r="N18" s="2">
        <f t="shared" si="6"/>
        <v>4.3536570170878734</v>
      </c>
      <c r="O18" s="2">
        <f t="shared" si="7"/>
        <v>36309499522.512863</v>
      </c>
      <c r="Q18">
        <v>0.1</v>
      </c>
      <c r="R18" s="2">
        <f t="shared" si="8"/>
        <v>725.59678049746151</v>
      </c>
      <c r="S18" s="2">
        <f t="shared" si="9"/>
        <v>6051477149348.8291</v>
      </c>
      <c r="U18">
        <v>0.1</v>
      </c>
      <c r="V18" s="2">
        <f t="shared" si="10"/>
        <v>294.90793832778667</v>
      </c>
      <c r="W18" s="2">
        <f t="shared" si="11"/>
        <v>2459532205653.7407</v>
      </c>
    </row>
    <row r="19" spans="1:23" x14ac:dyDescent="0.25">
      <c r="A19">
        <v>0.11</v>
      </c>
      <c r="B19" s="2">
        <f t="shared" si="0"/>
        <v>1.9092140186244218E-2</v>
      </c>
      <c r="C19" s="2">
        <f t="shared" si="1"/>
        <v>159228449.15327677</v>
      </c>
      <c r="E19">
        <v>0.11</v>
      </c>
      <c r="F19" s="2">
        <f t="shared" si="2"/>
        <v>288.2549276327353</v>
      </c>
      <c r="G19" s="2">
        <f t="shared" si="3"/>
        <v>2404046096457.0127</v>
      </c>
      <c r="I19">
        <v>0.11</v>
      </c>
      <c r="J19" s="2">
        <f t="shared" si="4"/>
        <v>288.2549276327353</v>
      </c>
      <c r="K19" s="2">
        <f t="shared" si="5"/>
        <v>2404046096457.0127</v>
      </c>
      <c r="M19">
        <v>0.11</v>
      </c>
      <c r="N19" s="2">
        <f t="shared" si="6"/>
        <v>4.3052830502313419</v>
      </c>
      <c r="O19" s="2">
        <f t="shared" si="7"/>
        <v>35906060638.92939</v>
      </c>
      <c r="Q19">
        <v>0.11</v>
      </c>
      <c r="R19" s="2">
        <f t="shared" si="8"/>
        <v>717.53459404748969</v>
      </c>
      <c r="S19" s="2">
        <f t="shared" si="9"/>
        <v>5984238514356.0645</v>
      </c>
      <c r="U19">
        <v>0.11</v>
      </c>
      <c r="V19" s="2">
        <f t="shared" si="10"/>
        <v>291.6311834574779</v>
      </c>
      <c r="W19" s="2">
        <f t="shared" si="11"/>
        <v>2432204070035.3657</v>
      </c>
    </row>
    <row r="20" spans="1:23" x14ac:dyDescent="0.25">
      <c r="A20">
        <v>0.12</v>
      </c>
      <c r="B20" s="2">
        <f t="shared" si="0"/>
        <v>1.8877621757185294E-2</v>
      </c>
      <c r="C20" s="2">
        <f t="shared" si="1"/>
        <v>157439365.45492536</v>
      </c>
      <c r="E20">
        <v>0.12</v>
      </c>
      <c r="F20" s="2">
        <f t="shared" si="2"/>
        <v>285.01610822113156</v>
      </c>
      <c r="G20" s="2">
        <f t="shared" si="3"/>
        <v>2377034342564.2373</v>
      </c>
      <c r="I20">
        <v>0.12</v>
      </c>
      <c r="J20" s="2">
        <f t="shared" si="4"/>
        <v>285.01610822113156</v>
      </c>
      <c r="K20" s="2">
        <f t="shared" si="5"/>
        <v>2377034342564.2373</v>
      </c>
      <c r="M20">
        <v>0.12</v>
      </c>
      <c r="N20" s="2">
        <f t="shared" si="6"/>
        <v>4.2569090833748096</v>
      </c>
      <c r="O20" s="2">
        <f t="shared" si="7"/>
        <v>35502621755.345909</v>
      </c>
      <c r="Q20">
        <v>0.12</v>
      </c>
      <c r="R20" s="2">
        <f t="shared" si="8"/>
        <v>709.47240759751787</v>
      </c>
      <c r="S20" s="2">
        <f t="shared" si="9"/>
        <v>5916999879363.2988</v>
      </c>
      <c r="U20">
        <v>0.12</v>
      </c>
      <c r="V20" s="2">
        <f t="shared" si="10"/>
        <v>288.3544285871692</v>
      </c>
      <c r="W20" s="2">
        <f t="shared" si="11"/>
        <v>2404875934416.9912</v>
      </c>
    </row>
    <row r="21" spans="1:23" x14ac:dyDescent="0.25">
      <c r="A21">
        <v>0.13</v>
      </c>
      <c r="B21" s="2">
        <f t="shared" si="0"/>
        <v>1.8663103328126374E-2</v>
      </c>
      <c r="C21" s="2">
        <f t="shared" si="1"/>
        <v>155650281.75657395</v>
      </c>
      <c r="E21">
        <v>0.13</v>
      </c>
      <c r="F21" s="2">
        <f t="shared" si="2"/>
        <v>281.77728880952776</v>
      </c>
      <c r="G21" s="2">
        <f t="shared" si="3"/>
        <v>2350022588671.4614</v>
      </c>
      <c r="I21">
        <v>0.13</v>
      </c>
      <c r="J21" s="2">
        <f t="shared" si="4"/>
        <v>281.77728880952776</v>
      </c>
      <c r="K21" s="2">
        <f t="shared" si="5"/>
        <v>2350022588671.4614</v>
      </c>
      <c r="M21">
        <v>0.13</v>
      </c>
      <c r="N21" s="2">
        <f t="shared" si="6"/>
        <v>4.2085351165182781</v>
      </c>
      <c r="O21" s="2">
        <f t="shared" si="7"/>
        <v>35099182871.762436</v>
      </c>
      <c r="Q21">
        <v>0.13</v>
      </c>
      <c r="R21" s="2">
        <f t="shared" si="8"/>
        <v>701.41022114754617</v>
      </c>
      <c r="S21" s="2">
        <f t="shared" si="9"/>
        <v>5849761244370.5352</v>
      </c>
      <c r="U21">
        <v>0.13</v>
      </c>
      <c r="V21" s="2">
        <f t="shared" si="10"/>
        <v>285.07767371686043</v>
      </c>
      <c r="W21" s="2">
        <f t="shared" si="11"/>
        <v>2377547798798.6162</v>
      </c>
    </row>
    <row r="22" spans="1:23" x14ac:dyDescent="0.25">
      <c r="A22">
        <v>0.14000000000000001</v>
      </c>
      <c r="B22" s="2">
        <f t="shared" si="0"/>
        <v>1.8448584899067449E-2</v>
      </c>
      <c r="C22" s="2">
        <f t="shared" si="1"/>
        <v>153861198.05822253</v>
      </c>
      <c r="E22">
        <v>0.14000000000000001</v>
      </c>
      <c r="F22" s="2">
        <f t="shared" si="2"/>
        <v>278.53846939792402</v>
      </c>
      <c r="G22" s="2">
        <f t="shared" si="3"/>
        <v>2323010834778.6865</v>
      </c>
      <c r="I22">
        <v>0.14000000000000001</v>
      </c>
      <c r="J22" s="2">
        <f t="shared" si="4"/>
        <v>278.53846939792402</v>
      </c>
      <c r="K22" s="2">
        <f t="shared" si="5"/>
        <v>2323010834778.6865</v>
      </c>
      <c r="M22">
        <v>0.14000000000000001</v>
      </c>
      <c r="N22" s="2">
        <f t="shared" si="6"/>
        <v>4.1601611496617457</v>
      </c>
      <c r="O22" s="2">
        <f t="shared" si="7"/>
        <v>34695743988.178955</v>
      </c>
      <c r="Q22">
        <v>0.14000000000000001</v>
      </c>
      <c r="R22" s="2">
        <f t="shared" si="8"/>
        <v>693.34803469757435</v>
      </c>
      <c r="S22" s="2">
        <f t="shared" si="9"/>
        <v>5782522609377.7695</v>
      </c>
      <c r="U22">
        <v>0.14000000000000001</v>
      </c>
      <c r="V22" s="2">
        <f t="shared" si="10"/>
        <v>281.80091884655172</v>
      </c>
      <c r="W22" s="2">
        <f t="shared" si="11"/>
        <v>2350219663180.2412</v>
      </c>
    </row>
    <row r="23" spans="1:23" x14ac:dyDescent="0.25">
      <c r="A23">
        <v>0.15</v>
      </c>
      <c r="B23" s="2">
        <f t="shared" si="0"/>
        <v>1.8234066470008525E-2</v>
      </c>
      <c r="C23" s="2">
        <f t="shared" si="1"/>
        <v>152072114.35987109</v>
      </c>
      <c r="E23">
        <v>0.15</v>
      </c>
      <c r="F23" s="2">
        <f t="shared" si="2"/>
        <v>275.29964998632022</v>
      </c>
      <c r="G23" s="2">
        <f t="shared" si="3"/>
        <v>2295999080885.9106</v>
      </c>
      <c r="I23">
        <v>0.15</v>
      </c>
      <c r="J23" s="2">
        <f t="shared" si="4"/>
        <v>275.29964998632022</v>
      </c>
      <c r="K23" s="2">
        <f t="shared" si="5"/>
        <v>2295999080885.9106</v>
      </c>
      <c r="M23">
        <v>0.15</v>
      </c>
      <c r="N23" s="2">
        <f t="shared" si="6"/>
        <v>4.1117871828052142</v>
      </c>
      <c r="O23" s="2">
        <f t="shared" si="7"/>
        <v>34292305104.595486</v>
      </c>
      <c r="Q23">
        <v>0.15</v>
      </c>
      <c r="R23" s="2">
        <f t="shared" si="8"/>
        <v>685.28584824760253</v>
      </c>
      <c r="S23" s="2">
        <f t="shared" si="9"/>
        <v>5715283974385.0049</v>
      </c>
      <c r="U23">
        <v>0.15</v>
      </c>
      <c r="V23" s="2">
        <f t="shared" si="10"/>
        <v>278.52416397624296</v>
      </c>
      <c r="W23" s="2">
        <f t="shared" si="11"/>
        <v>2322891527561.8662</v>
      </c>
    </row>
    <row r="24" spans="1:23" x14ac:dyDescent="0.25">
      <c r="A24">
        <v>0.16</v>
      </c>
      <c r="B24" s="2">
        <f t="shared" si="0"/>
        <v>1.8019548040949601E-2</v>
      </c>
      <c r="C24" s="2">
        <f t="shared" si="1"/>
        <v>150283030.66151968</v>
      </c>
      <c r="E24">
        <v>0.16</v>
      </c>
      <c r="F24" s="2">
        <f t="shared" si="2"/>
        <v>272.06083057471648</v>
      </c>
      <c r="G24" s="2">
        <f t="shared" si="3"/>
        <v>2268987326993.1353</v>
      </c>
      <c r="I24">
        <v>0.16</v>
      </c>
      <c r="J24" s="2">
        <f t="shared" si="4"/>
        <v>272.06083057471648</v>
      </c>
      <c r="K24" s="2">
        <f t="shared" si="5"/>
        <v>2268987326993.1353</v>
      </c>
      <c r="M24">
        <v>0.16</v>
      </c>
      <c r="N24" s="2">
        <f t="shared" si="6"/>
        <v>4.0634132159486818</v>
      </c>
      <c r="O24" s="2">
        <f t="shared" si="7"/>
        <v>33888866221.012005</v>
      </c>
      <c r="Q24">
        <v>0.16</v>
      </c>
      <c r="R24" s="2">
        <f t="shared" si="8"/>
        <v>677.22366179763071</v>
      </c>
      <c r="S24" s="2">
        <f t="shared" si="9"/>
        <v>5648045339392.2402</v>
      </c>
      <c r="U24">
        <v>0.16</v>
      </c>
      <c r="V24" s="2">
        <f t="shared" si="10"/>
        <v>275.24740910593425</v>
      </c>
      <c r="W24" s="2">
        <f t="shared" si="11"/>
        <v>2295563391943.4917</v>
      </c>
    </row>
    <row r="25" spans="1:23" x14ac:dyDescent="0.25">
      <c r="A25">
        <v>0.17</v>
      </c>
      <c r="B25" s="2">
        <f t="shared" si="0"/>
        <v>1.7805029611890677E-2</v>
      </c>
      <c r="C25" s="2">
        <f t="shared" si="1"/>
        <v>148493946.96316823</v>
      </c>
      <c r="E25">
        <v>0.17</v>
      </c>
      <c r="F25" s="2">
        <f t="shared" si="2"/>
        <v>268.82201116311268</v>
      </c>
      <c r="G25" s="2">
        <f t="shared" si="3"/>
        <v>2241975573100.3599</v>
      </c>
      <c r="I25">
        <v>0.17</v>
      </c>
      <c r="J25" s="2">
        <f t="shared" si="4"/>
        <v>268.82201116311268</v>
      </c>
      <c r="K25" s="2">
        <f t="shared" si="5"/>
        <v>2241975573100.3599</v>
      </c>
      <c r="M25">
        <v>0.17</v>
      </c>
      <c r="N25" s="2">
        <f t="shared" si="6"/>
        <v>4.0150392490921503</v>
      </c>
      <c r="O25" s="2">
        <f t="shared" si="7"/>
        <v>33485427337.428532</v>
      </c>
      <c r="Q25">
        <v>0.17</v>
      </c>
      <c r="R25" s="2">
        <f t="shared" si="8"/>
        <v>669.16147534765901</v>
      </c>
      <c r="S25" s="2">
        <f t="shared" si="9"/>
        <v>5580806704399.4756</v>
      </c>
      <c r="U25">
        <v>0.17</v>
      </c>
      <c r="V25" s="2">
        <f t="shared" si="10"/>
        <v>271.97065423562549</v>
      </c>
      <c r="W25" s="2">
        <f t="shared" si="11"/>
        <v>2268235256325.1167</v>
      </c>
    </row>
    <row r="26" spans="1:23" x14ac:dyDescent="0.25">
      <c r="A26">
        <v>0.18</v>
      </c>
      <c r="B26" s="2">
        <f t="shared" si="0"/>
        <v>1.7590511182831756E-2</v>
      </c>
      <c r="C26" s="2">
        <f t="shared" si="1"/>
        <v>146704863.26481685</v>
      </c>
      <c r="E26">
        <v>0.18</v>
      </c>
      <c r="F26" s="2">
        <f t="shared" si="2"/>
        <v>265.58319175150899</v>
      </c>
      <c r="G26" s="2">
        <f t="shared" si="3"/>
        <v>2214963819207.585</v>
      </c>
      <c r="I26">
        <v>0.18</v>
      </c>
      <c r="J26" s="2">
        <f t="shared" si="4"/>
        <v>265.58319175150899</v>
      </c>
      <c r="K26" s="2">
        <f t="shared" si="5"/>
        <v>2214963819207.585</v>
      </c>
      <c r="M26">
        <v>0.18</v>
      </c>
      <c r="N26" s="2">
        <f t="shared" si="6"/>
        <v>3.9666652822356188</v>
      </c>
      <c r="O26" s="2">
        <f t="shared" si="7"/>
        <v>33081988453.845062</v>
      </c>
      <c r="Q26">
        <v>0.18</v>
      </c>
      <c r="R26" s="2">
        <f t="shared" si="8"/>
        <v>661.0992888976873</v>
      </c>
      <c r="S26" s="2">
        <f t="shared" si="9"/>
        <v>5513568069406.7119</v>
      </c>
      <c r="U26">
        <v>0.18</v>
      </c>
      <c r="V26" s="2">
        <f t="shared" si="10"/>
        <v>268.69389936531678</v>
      </c>
      <c r="W26" s="2">
        <f t="shared" si="11"/>
        <v>2240907120706.7422</v>
      </c>
    </row>
    <row r="27" spans="1:23" x14ac:dyDescent="0.25">
      <c r="A27">
        <v>0.19</v>
      </c>
      <c r="B27" s="2">
        <f t="shared" si="0"/>
        <v>1.7375992753772832E-2</v>
      </c>
      <c r="C27" s="2">
        <f t="shared" si="1"/>
        <v>144915779.56646544</v>
      </c>
      <c r="E27">
        <v>0.19</v>
      </c>
      <c r="F27" s="2">
        <f t="shared" si="2"/>
        <v>262.34437233990519</v>
      </c>
      <c r="G27" s="2">
        <f t="shared" si="3"/>
        <v>2187952065314.8093</v>
      </c>
      <c r="I27">
        <v>0.19</v>
      </c>
      <c r="J27" s="2">
        <f t="shared" si="4"/>
        <v>262.34437233990519</v>
      </c>
      <c r="K27" s="2">
        <f t="shared" si="5"/>
        <v>2187952065314.8093</v>
      </c>
      <c r="M27">
        <v>0.19</v>
      </c>
      <c r="N27" s="2">
        <f t="shared" si="6"/>
        <v>3.9182913153790864</v>
      </c>
      <c r="O27" s="2">
        <f t="shared" si="7"/>
        <v>32678549570.261578</v>
      </c>
      <c r="Q27">
        <v>0.19</v>
      </c>
      <c r="R27" s="2">
        <f t="shared" si="8"/>
        <v>653.03710244771537</v>
      </c>
      <c r="S27" s="2">
        <f t="shared" si="9"/>
        <v>5446329434413.9463</v>
      </c>
      <c r="U27">
        <v>0.19</v>
      </c>
      <c r="V27" s="2">
        <f t="shared" si="10"/>
        <v>265.41714449500802</v>
      </c>
      <c r="W27" s="2">
        <f t="shared" si="11"/>
        <v>2213578985088.3667</v>
      </c>
    </row>
    <row r="28" spans="1:23" x14ac:dyDescent="0.25">
      <c r="A28">
        <v>0.2</v>
      </c>
      <c r="B28" s="2">
        <f t="shared" si="0"/>
        <v>1.7161474324713905E-2</v>
      </c>
      <c r="C28" s="2">
        <f t="shared" si="1"/>
        <v>143126695.86811396</v>
      </c>
      <c r="E28">
        <v>0.2</v>
      </c>
      <c r="F28" s="2">
        <f t="shared" si="2"/>
        <v>259.10555292830139</v>
      </c>
      <c r="G28" s="2">
        <f t="shared" si="3"/>
        <v>2160940311422.0337</v>
      </c>
      <c r="I28">
        <v>0.2</v>
      </c>
      <c r="J28" s="2">
        <f t="shared" si="4"/>
        <v>259.10555292830139</v>
      </c>
      <c r="K28" s="2">
        <f t="shared" si="5"/>
        <v>2160940311422.0337</v>
      </c>
      <c r="M28">
        <v>0.2</v>
      </c>
      <c r="N28" s="2">
        <f t="shared" si="6"/>
        <v>3.8699173485225544</v>
      </c>
      <c r="O28" s="2">
        <f t="shared" si="7"/>
        <v>32275110686.678101</v>
      </c>
      <c r="Q28">
        <v>0.2</v>
      </c>
      <c r="R28" s="2">
        <f t="shared" si="8"/>
        <v>644.97491599774355</v>
      </c>
      <c r="S28" s="2">
        <f t="shared" si="9"/>
        <v>5379090799421.1807</v>
      </c>
      <c r="U28">
        <v>0.2</v>
      </c>
      <c r="V28" s="2">
        <f t="shared" si="10"/>
        <v>262.14038962469925</v>
      </c>
      <c r="W28" s="2">
        <f t="shared" si="11"/>
        <v>2186250849469.9917</v>
      </c>
    </row>
    <row r="29" spans="1:23" x14ac:dyDescent="0.25">
      <c r="A29">
        <v>0.21</v>
      </c>
      <c r="B29" s="2">
        <f t="shared" si="0"/>
        <v>1.694695589565498E-2</v>
      </c>
      <c r="C29" s="2">
        <f t="shared" si="1"/>
        <v>141337612.16976252</v>
      </c>
      <c r="E29">
        <v>0.21</v>
      </c>
      <c r="F29" s="2">
        <f t="shared" si="2"/>
        <v>255.86673351669762</v>
      </c>
      <c r="G29" s="2">
        <f t="shared" si="3"/>
        <v>2133928557529.2581</v>
      </c>
      <c r="I29">
        <v>0.21</v>
      </c>
      <c r="J29" s="2">
        <f t="shared" si="4"/>
        <v>255.86673351669762</v>
      </c>
      <c r="K29" s="2">
        <f t="shared" si="5"/>
        <v>2133928557529.2581</v>
      </c>
      <c r="M29">
        <v>0.21</v>
      </c>
      <c r="N29" s="2">
        <f t="shared" si="6"/>
        <v>3.8215433816660225</v>
      </c>
      <c r="O29" s="2">
        <f t="shared" si="7"/>
        <v>31871671803.094627</v>
      </c>
      <c r="Q29">
        <v>0.21</v>
      </c>
      <c r="R29" s="2">
        <f t="shared" si="8"/>
        <v>636.91272954777173</v>
      </c>
      <c r="S29" s="2">
        <f t="shared" si="9"/>
        <v>5311852164428.416</v>
      </c>
      <c r="U29">
        <v>0.21</v>
      </c>
      <c r="V29" s="2">
        <f t="shared" si="10"/>
        <v>258.86363475439055</v>
      </c>
      <c r="W29" s="2">
        <f t="shared" si="11"/>
        <v>2158922713851.6172</v>
      </c>
    </row>
    <row r="30" spans="1:23" x14ac:dyDescent="0.25">
      <c r="A30">
        <v>0.22</v>
      </c>
      <c r="B30" s="2">
        <f t="shared" si="0"/>
        <v>1.6732437466596056E-2</v>
      </c>
      <c r="C30" s="2">
        <f t="shared" si="1"/>
        <v>139548528.47141111</v>
      </c>
      <c r="E30">
        <v>0.22</v>
      </c>
      <c r="F30" s="2">
        <f t="shared" si="2"/>
        <v>252.62791410509388</v>
      </c>
      <c r="G30" s="2">
        <f t="shared" si="3"/>
        <v>2106916803636.4829</v>
      </c>
      <c r="I30">
        <v>0.22</v>
      </c>
      <c r="J30" s="2">
        <f t="shared" si="4"/>
        <v>252.62791410509388</v>
      </c>
      <c r="K30" s="2">
        <f t="shared" si="5"/>
        <v>2106916803636.4829</v>
      </c>
      <c r="M30">
        <v>0.22</v>
      </c>
      <c r="N30" s="2">
        <f t="shared" si="6"/>
        <v>3.7731694148094905</v>
      </c>
      <c r="O30" s="2">
        <f t="shared" si="7"/>
        <v>31468232919.51115</v>
      </c>
      <c r="Q30">
        <v>0.22</v>
      </c>
      <c r="R30" s="2">
        <f t="shared" si="8"/>
        <v>628.85054309780003</v>
      </c>
      <c r="S30" s="2">
        <f t="shared" si="9"/>
        <v>5244613529435.6523</v>
      </c>
      <c r="U30">
        <v>0.22</v>
      </c>
      <c r="V30" s="2">
        <f t="shared" si="10"/>
        <v>255.58687988408178</v>
      </c>
      <c r="W30" s="2">
        <f t="shared" si="11"/>
        <v>2131594578233.2419</v>
      </c>
    </row>
    <row r="31" spans="1:23" x14ac:dyDescent="0.25">
      <c r="A31">
        <v>0.23</v>
      </c>
      <c r="B31" s="2">
        <f t="shared" si="0"/>
        <v>1.6517919037537136E-2</v>
      </c>
      <c r="C31" s="2">
        <f t="shared" si="1"/>
        <v>137759444.77305973</v>
      </c>
      <c r="E31">
        <v>0.23</v>
      </c>
      <c r="F31" s="2">
        <f t="shared" si="2"/>
        <v>249.38909469349011</v>
      </c>
      <c r="G31" s="2">
        <f t="shared" si="3"/>
        <v>2079905049743.7075</v>
      </c>
      <c r="I31">
        <v>0.23</v>
      </c>
      <c r="J31" s="2">
        <f t="shared" si="4"/>
        <v>249.38909469349011</v>
      </c>
      <c r="K31" s="2">
        <f t="shared" si="5"/>
        <v>2079905049743.7075</v>
      </c>
      <c r="M31">
        <v>0.23</v>
      </c>
      <c r="N31" s="2">
        <f t="shared" si="6"/>
        <v>3.7247954479529586</v>
      </c>
      <c r="O31" s="2">
        <f t="shared" si="7"/>
        <v>31064794035.927673</v>
      </c>
      <c r="Q31">
        <v>0.23</v>
      </c>
      <c r="R31" s="2">
        <f t="shared" si="8"/>
        <v>620.78835664782821</v>
      </c>
      <c r="S31" s="2">
        <f t="shared" si="9"/>
        <v>5177374894442.8877</v>
      </c>
      <c r="U31">
        <v>0.23</v>
      </c>
      <c r="V31" s="2">
        <f t="shared" si="10"/>
        <v>252.31012501377305</v>
      </c>
      <c r="W31" s="2">
        <f t="shared" si="11"/>
        <v>2104266442614.8672</v>
      </c>
    </row>
    <row r="32" spans="1:23" x14ac:dyDescent="0.25">
      <c r="A32">
        <v>0.24</v>
      </c>
      <c r="B32" s="2">
        <f t="shared" si="0"/>
        <v>1.6303400608478211E-2</v>
      </c>
      <c r="C32" s="2">
        <f t="shared" si="1"/>
        <v>135970361.07470828</v>
      </c>
      <c r="E32">
        <v>0.24</v>
      </c>
      <c r="F32" s="2">
        <f t="shared" si="2"/>
        <v>246.15027528188634</v>
      </c>
      <c r="G32" s="2">
        <f t="shared" si="3"/>
        <v>2052893295850.9319</v>
      </c>
      <c r="I32">
        <v>0.24</v>
      </c>
      <c r="J32" s="2">
        <f t="shared" si="4"/>
        <v>246.15027528188634</v>
      </c>
      <c r="K32" s="2">
        <f t="shared" si="5"/>
        <v>2052893295850.9319</v>
      </c>
      <c r="M32">
        <v>0.24</v>
      </c>
      <c r="N32" s="2">
        <f t="shared" si="6"/>
        <v>3.6764214810964266</v>
      </c>
      <c r="O32" s="2">
        <f t="shared" si="7"/>
        <v>30661355152.3442</v>
      </c>
      <c r="Q32">
        <v>0.24</v>
      </c>
      <c r="R32" s="2">
        <f t="shared" si="8"/>
        <v>612.72617019785639</v>
      </c>
      <c r="S32" s="2">
        <f t="shared" si="9"/>
        <v>5110136259450.123</v>
      </c>
      <c r="U32">
        <v>0.24</v>
      </c>
      <c r="V32" s="2">
        <f t="shared" si="10"/>
        <v>249.03337014346431</v>
      </c>
      <c r="W32" s="2">
        <f t="shared" si="11"/>
        <v>2076938306996.4924</v>
      </c>
    </row>
    <row r="33" spans="1:23" x14ac:dyDescent="0.25">
      <c r="A33">
        <v>0.25</v>
      </c>
      <c r="B33" s="2">
        <f t="shared" si="0"/>
        <v>1.6088882179419287E-2</v>
      </c>
      <c r="C33" s="2">
        <f t="shared" si="1"/>
        <v>134181277.37635686</v>
      </c>
      <c r="E33">
        <v>0.25</v>
      </c>
      <c r="F33" s="2">
        <f t="shared" si="2"/>
        <v>242.91145587028257</v>
      </c>
      <c r="G33" s="2">
        <f t="shared" si="3"/>
        <v>2025881541958.1565</v>
      </c>
      <c r="I33">
        <v>0.25</v>
      </c>
      <c r="J33" s="2">
        <f t="shared" si="4"/>
        <v>242.91145587028257</v>
      </c>
      <c r="K33" s="2">
        <f t="shared" si="5"/>
        <v>2025881541958.1565</v>
      </c>
      <c r="M33">
        <v>0.25</v>
      </c>
      <c r="N33" s="2">
        <f t="shared" si="6"/>
        <v>3.6280475142398947</v>
      </c>
      <c r="O33" s="2">
        <f t="shared" si="7"/>
        <v>30257916268.760723</v>
      </c>
      <c r="Q33">
        <v>0.25</v>
      </c>
      <c r="R33" s="2">
        <f t="shared" si="8"/>
        <v>604.66398374788457</v>
      </c>
      <c r="S33" s="2">
        <f t="shared" si="9"/>
        <v>5042897624457.3574</v>
      </c>
      <c r="U33">
        <v>0.25</v>
      </c>
      <c r="V33" s="2">
        <f t="shared" si="10"/>
        <v>245.75661527315555</v>
      </c>
      <c r="W33" s="2">
        <f t="shared" si="11"/>
        <v>2049610171378.1172</v>
      </c>
    </row>
    <row r="34" spans="1:23" x14ac:dyDescent="0.25">
      <c r="A34">
        <v>0.26</v>
      </c>
      <c r="B34" s="2">
        <f t="shared" si="0"/>
        <v>1.5874363750360363E-2</v>
      </c>
      <c r="C34" s="2">
        <f t="shared" si="1"/>
        <v>132392193.67800543</v>
      </c>
      <c r="E34">
        <v>0.26</v>
      </c>
      <c r="F34" s="2">
        <f t="shared" si="2"/>
        <v>239.6726364586788</v>
      </c>
      <c r="G34" s="2">
        <f t="shared" si="3"/>
        <v>1998869788065.3813</v>
      </c>
      <c r="I34">
        <v>0.26</v>
      </c>
      <c r="J34" s="2">
        <f t="shared" si="4"/>
        <v>239.6726364586788</v>
      </c>
      <c r="K34" s="2">
        <f t="shared" si="5"/>
        <v>1998869788065.3813</v>
      </c>
      <c r="M34">
        <v>0.26</v>
      </c>
      <c r="N34" s="2">
        <f t="shared" si="6"/>
        <v>3.5796735473833627</v>
      </c>
      <c r="O34" s="2">
        <f t="shared" si="7"/>
        <v>29854477385.177246</v>
      </c>
      <c r="Q34">
        <v>0.26</v>
      </c>
      <c r="R34" s="2">
        <f t="shared" si="8"/>
        <v>596.60179729791275</v>
      </c>
      <c r="S34" s="2">
        <f t="shared" si="9"/>
        <v>4975658989464.5928</v>
      </c>
      <c r="U34">
        <v>0.26</v>
      </c>
      <c r="V34" s="2">
        <f t="shared" si="10"/>
        <v>242.47986040284681</v>
      </c>
      <c r="W34" s="2">
        <f t="shared" si="11"/>
        <v>2022282035759.7424</v>
      </c>
    </row>
    <row r="35" spans="1:23" x14ac:dyDescent="0.25">
      <c r="A35">
        <v>0.27</v>
      </c>
      <c r="B35" s="2">
        <f t="shared" si="0"/>
        <v>1.5659845321301439E-2</v>
      </c>
      <c r="C35" s="2">
        <f t="shared" si="1"/>
        <v>130603109.97965401</v>
      </c>
      <c r="E35">
        <v>0.27</v>
      </c>
      <c r="F35" s="2">
        <f t="shared" si="2"/>
        <v>236.43381704707502</v>
      </c>
      <c r="G35" s="2">
        <f t="shared" si="3"/>
        <v>1971858034172.6057</v>
      </c>
      <c r="I35">
        <v>0.27</v>
      </c>
      <c r="J35" s="2">
        <f t="shared" si="4"/>
        <v>236.43381704707502</v>
      </c>
      <c r="K35" s="2">
        <f t="shared" si="5"/>
        <v>1971858034172.6057</v>
      </c>
      <c r="M35">
        <v>0.27</v>
      </c>
      <c r="N35" s="2">
        <f t="shared" si="6"/>
        <v>3.5312995805268308</v>
      </c>
      <c r="O35" s="2">
        <f t="shared" si="7"/>
        <v>29451038501.593769</v>
      </c>
      <c r="Q35">
        <v>0.27</v>
      </c>
      <c r="R35" s="2">
        <f t="shared" si="8"/>
        <v>588.53961084794105</v>
      </c>
      <c r="S35" s="2">
        <f t="shared" si="9"/>
        <v>4908420354471.8281</v>
      </c>
      <c r="U35">
        <v>0.27</v>
      </c>
      <c r="V35" s="2">
        <f t="shared" si="10"/>
        <v>239.20310553253807</v>
      </c>
      <c r="W35" s="2">
        <f t="shared" si="11"/>
        <v>1994953900141.3677</v>
      </c>
    </row>
    <row r="36" spans="1:23" x14ac:dyDescent="0.25">
      <c r="A36">
        <v>0.28000000000000003</v>
      </c>
      <c r="B36" s="2">
        <f t="shared" si="0"/>
        <v>1.5445326892242515E-2</v>
      </c>
      <c r="C36" s="2">
        <f t="shared" si="1"/>
        <v>128814026.28130257</v>
      </c>
      <c r="E36">
        <v>0.28000000000000003</v>
      </c>
      <c r="F36" s="2">
        <f t="shared" si="2"/>
        <v>233.19499763547125</v>
      </c>
      <c r="G36" s="2">
        <f t="shared" si="3"/>
        <v>1944846280279.8303</v>
      </c>
      <c r="I36">
        <v>0.28000000000000003</v>
      </c>
      <c r="J36" s="2">
        <f t="shared" si="4"/>
        <v>233.19499763547125</v>
      </c>
      <c r="K36" s="2">
        <f t="shared" si="5"/>
        <v>1944846280279.8303</v>
      </c>
      <c r="M36">
        <v>0.28000000000000003</v>
      </c>
      <c r="N36" s="2">
        <f t="shared" si="6"/>
        <v>3.4829256136702988</v>
      </c>
      <c r="O36" s="2">
        <f t="shared" si="7"/>
        <v>29047599618.010292</v>
      </c>
      <c r="Q36">
        <v>0.28000000000000003</v>
      </c>
      <c r="R36" s="2">
        <f t="shared" si="8"/>
        <v>580.47742439796923</v>
      </c>
      <c r="S36" s="2">
        <f t="shared" si="9"/>
        <v>4841181719479.0635</v>
      </c>
      <c r="U36">
        <v>0.28000000000000003</v>
      </c>
      <c r="V36" s="2">
        <f t="shared" si="10"/>
        <v>235.92635066222934</v>
      </c>
      <c r="W36" s="2">
        <f t="shared" si="11"/>
        <v>1967625764522.9927</v>
      </c>
    </row>
    <row r="37" spans="1:23" x14ac:dyDescent="0.25">
      <c r="A37">
        <v>0.28999999999999998</v>
      </c>
      <c r="B37" s="2">
        <f t="shared" si="0"/>
        <v>1.5230808463183591E-2</v>
      </c>
      <c r="C37" s="2">
        <f t="shared" si="1"/>
        <v>127024942.58295116</v>
      </c>
      <c r="E37">
        <v>0.28999999999999998</v>
      </c>
      <c r="F37" s="2">
        <f t="shared" si="2"/>
        <v>229.95617822386748</v>
      </c>
      <c r="G37" s="2">
        <f t="shared" si="3"/>
        <v>1917834526387.0547</v>
      </c>
      <c r="I37">
        <v>0.28999999999999998</v>
      </c>
      <c r="J37" s="2">
        <f t="shared" si="4"/>
        <v>229.95617822386748</v>
      </c>
      <c r="K37" s="2">
        <f t="shared" si="5"/>
        <v>1917834526387.0547</v>
      </c>
      <c r="M37">
        <v>0.28999999999999998</v>
      </c>
      <c r="N37" s="2">
        <f t="shared" si="6"/>
        <v>3.4345516468137669</v>
      </c>
      <c r="O37" s="2">
        <f t="shared" si="7"/>
        <v>28644160734.426815</v>
      </c>
      <c r="Q37">
        <v>0.28999999999999998</v>
      </c>
      <c r="R37" s="2">
        <f t="shared" si="8"/>
        <v>572.41523794799741</v>
      </c>
      <c r="S37" s="2">
        <f t="shared" si="9"/>
        <v>4773943084486.2988</v>
      </c>
      <c r="U37">
        <v>0.28999999999999998</v>
      </c>
      <c r="V37" s="2">
        <f t="shared" si="10"/>
        <v>232.6495957919206</v>
      </c>
      <c r="W37" s="2">
        <f t="shared" si="11"/>
        <v>1940297628904.6179</v>
      </c>
    </row>
    <row r="38" spans="1:23" x14ac:dyDescent="0.25">
      <c r="A38">
        <v>0.3</v>
      </c>
      <c r="B38" s="2">
        <f t="shared" si="0"/>
        <v>1.5016290034124666E-2</v>
      </c>
      <c r="C38" s="2">
        <f t="shared" si="1"/>
        <v>125235858.88459972</v>
      </c>
      <c r="E38">
        <v>0.3</v>
      </c>
      <c r="F38" s="2">
        <f t="shared" si="2"/>
        <v>226.71735881226374</v>
      </c>
      <c r="G38" s="2">
        <f t="shared" si="3"/>
        <v>1890822772494.2798</v>
      </c>
      <c r="I38">
        <v>0.3</v>
      </c>
      <c r="J38" s="2">
        <f t="shared" si="4"/>
        <v>226.71735881226374</v>
      </c>
      <c r="K38" s="2">
        <f t="shared" si="5"/>
        <v>1890822772494.2798</v>
      </c>
      <c r="M38">
        <v>0.3</v>
      </c>
      <c r="N38" s="2">
        <f t="shared" si="6"/>
        <v>3.386177679957235</v>
      </c>
      <c r="O38" s="2">
        <f t="shared" si="7"/>
        <v>28240721850.843342</v>
      </c>
      <c r="Q38">
        <v>0.3</v>
      </c>
      <c r="R38" s="2">
        <f t="shared" si="8"/>
        <v>564.35305149802559</v>
      </c>
      <c r="S38" s="2">
        <f t="shared" si="9"/>
        <v>4706704449493.5332</v>
      </c>
      <c r="U38">
        <v>0.3</v>
      </c>
      <c r="V38" s="2">
        <f t="shared" si="10"/>
        <v>229.37284092161187</v>
      </c>
      <c r="W38" s="2">
        <f t="shared" si="11"/>
        <v>1912969493286.2432</v>
      </c>
    </row>
    <row r="39" spans="1:23" x14ac:dyDescent="0.25">
      <c r="A39">
        <v>0.31</v>
      </c>
      <c r="B39" s="2">
        <f t="shared" si="0"/>
        <v>1.4801771605065741E-2</v>
      </c>
      <c r="C39" s="2">
        <f t="shared" si="1"/>
        <v>123446775.18624827</v>
      </c>
      <c r="E39">
        <v>0.31</v>
      </c>
      <c r="F39" s="2">
        <f t="shared" si="2"/>
        <v>223.47853940065994</v>
      </c>
      <c r="G39" s="2">
        <f t="shared" si="3"/>
        <v>1863811018601.5037</v>
      </c>
      <c r="I39">
        <v>0.31</v>
      </c>
      <c r="J39" s="2">
        <f t="shared" si="4"/>
        <v>223.47853940065994</v>
      </c>
      <c r="K39" s="2">
        <f t="shared" si="5"/>
        <v>1863811018601.5037</v>
      </c>
      <c r="M39">
        <v>0.31</v>
      </c>
      <c r="N39" s="2">
        <f t="shared" si="6"/>
        <v>3.337803713100703</v>
      </c>
      <c r="O39" s="2">
        <f t="shared" si="7"/>
        <v>27837282967.259865</v>
      </c>
      <c r="Q39">
        <v>0.31</v>
      </c>
      <c r="R39" s="2">
        <f t="shared" si="8"/>
        <v>556.29086504805377</v>
      </c>
      <c r="S39" s="2">
        <f t="shared" si="9"/>
        <v>4639465814500.7686</v>
      </c>
      <c r="U39">
        <v>0.31</v>
      </c>
      <c r="V39" s="2">
        <f t="shared" si="10"/>
        <v>226.0960860513031</v>
      </c>
      <c r="W39" s="2">
        <f t="shared" si="11"/>
        <v>1885641357667.8679</v>
      </c>
    </row>
    <row r="40" spans="1:23" x14ac:dyDescent="0.25">
      <c r="A40">
        <v>0.32</v>
      </c>
      <c r="B40" s="2">
        <f t="shared" si="0"/>
        <v>1.4587253176006818E-2</v>
      </c>
      <c r="C40" s="2">
        <f t="shared" si="1"/>
        <v>121657691.48789686</v>
      </c>
      <c r="E40">
        <v>0.32</v>
      </c>
      <c r="F40" s="2">
        <f t="shared" si="2"/>
        <v>220.23971998905617</v>
      </c>
      <c r="G40" s="2">
        <f t="shared" si="3"/>
        <v>1836799264708.7285</v>
      </c>
      <c r="I40">
        <v>0.32</v>
      </c>
      <c r="J40" s="2">
        <f t="shared" si="4"/>
        <v>220.23971998905617</v>
      </c>
      <c r="K40" s="2">
        <f t="shared" si="5"/>
        <v>1836799264708.7285</v>
      </c>
      <c r="M40">
        <v>0.32</v>
      </c>
      <c r="N40" s="2">
        <f t="shared" si="6"/>
        <v>3.2894297462441706</v>
      </c>
      <c r="O40" s="2">
        <f t="shared" si="7"/>
        <v>27433844083.67638</v>
      </c>
      <c r="Q40">
        <v>0.32</v>
      </c>
      <c r="R40" s="2">
        <f t="shared" si="8"/>
        <v>548.22867859808196</v>
      </c>
      <c r="S40" s="2">
        <f t="shared" si="9"/>
        <v>4572227179508.0039</v>
      </c>
      <c r="U40">
        <v>0.32</v>
      </c>
      <c r="V40" s="2">
        <f t="shared" si="10"/>
        <v>222.81933118099434</v>
      </c>
      <c r="W40" s="2">
        <f t="shared" si="11"/>
        <v>1858313222049.4927</v>
      </c>
    </row>
    <row r="41" spans="1:23" x14ac:dyDescent="0.25">
      <c r="A41">
        <v>0.33</v>
      </c>
      <c r="B41" s="2">
        <f t="shared" si="0"/>
        <v>1.4372734746947894E-2</v>
      </c>
      <c r="C41" s="2">
        <f t="shared" si="1"/>
        <v>119868607.78954545</v>
      </c>
      <c r="E41">
        <v>0.33</v>
      </c>
      <c r="F41" s="2">
        <f t="shared" si="2"/>
        <v>217.0009005774524</v>
      </c>
      <c r="G41" s="2">
        <f t="shared" si="3"/>
        <v>1809787510815.9531</v>
      </c>
      <c r="I41">
        <v>0.33</v>
      </c>
      <c r="J41" s="2">
        <f t="shared" si="4"/>
        <v>217.0009005774524</v>
      </c>
      <c r="K41" s="2">
        <f t="shared" si="5"/>
        <v>1809787510815.9531</v>
      </c>
      <c r="M41">
        <v>0.33</v>
      </c>
      <c r="N41" s="2">
        <f t="shared" si="6"/>
        <v>3.2410557793876387</v>
      </c>
      <c r="O41" s="2">
        <f t="shared" si="7"/>
        <v>27030405200.092903</v>
      </c>
      <c r="Q41">
        <v>0.33</v>
      </c>
      <c r="R41" s="2">
        <f t="shared" si="8"/>
        <v>540.16649214811014</v>
      </c>
      <c r="S41" s="2">
        <f t="shared" si="9"/>
        <v>4504988544515.2383</v>
      </c>
      <c r="U41">
        <v>0.33</v>
      </c>
      <c r="V41" s="2">
        <f t="shared" si="10"/>
        <v>219.5425763106856</v>
      </c>
      <c r="W41" s="2">
        <f t="shared" si="11"/>
        <v>1830985086431.1179</v>
      </c>
    </row>
    <row r="42" spans="1:23" x14ac:dyDescent="0.25">
      <c r="A42">
        <v>0.34</v>
      </c>
      <c r="B42" s="2">
        <f t="shared" si="0"/>
        <v>1.415821631788897E-2</v>
      </c>
      <c r="C42" s="2">
        <f t="shared" si="1"/>
        <v>118079524.091194</v>
      </c>
      <c r="E42">
        <v>0.34</v>
      </c>
      <c r="F42" s="2">
        <f t="shared" si="2"/>
        <v>213.76208116584863</v>
      </c>
      <c r="G42" s="2">
        <f t="shared" si="3"/>
        <v>1782775756923.1775</v>
      </c>
      <c r="I42">
        <v>0.34</v>
      </c>
      <c r="J42" s="2">
        <f t="shared" si="4"/>
        <v>213.76208116584863</v>
      </c>
      <c r="K42" s="2">
        <f t="shared" si="5"/>
        <v>1782775756923.1775</v>
      </c>
      <c r="M42">
        <v>0.34</v>
      </c>
      <c r="N42" s="2">
        <f t="shared" si="6"/>
        <v>3.1926818125311067</v>
      </c>
      <c r="O42" s="2">
        <f t="shared" si="7"/>
        <v>26626966316.509426</v>
      </c>
      <c r="Q42">
        <v>0.34</v>
      </c>
      <c r="R42" s="2">
        <f t="shared" si="8"/>
        <v>532.10430569813832</v>
      </c>
      <c r="S42" s="2">
        <f t="shared" si="9"/>
        <v>4437749909522.4736</v>
      </c>
      <c r="U42">
        <v>0.34</v>
      </c>
      <c r="V42" s="2">
        <f t="shared" si="10"/>
        <v>216.26582144037684</v>
      </c>
      <c r="W42" s="2">
        <f t="shared" si="11"/>
        <v>1803656950812.7427</v>
      </c>
    </row>
    <row r="43" spans="1:23" x14ac:dyDescent="0.25">
      <c r="A43">
        <v>0.35</v>
      </c>
      <c r="B43" s="2">
        <f t="shared" si="0"/>
        <v>1.3943697888830047E-2</v>
      </c>
      <c r="C43" s="2">
        <f t="shared" si="1"/>
        <v>116290440.39284259</v>
      </c>
      <c r="E43">
        <v>0.35</v>
      </c>
      <c r="F43" s="2">
        <f t="shared" si="2"/>
        <v>210.52326175424488</v>
      </c>
      <c r="G43" s="2">
        <f t="shared" si="3"/>
        <v>1755764003030.4021</v>
      </c>
      <c r="I43">
        <v>0.35</v>
      </c>
      <c r="J43" s="2">
        <f t="shared" si="4"/>
        <v>210.52326175424488</v>
      </c>
      <c r="K43" s="2">
        <f t="shared" si="5"/>
        <v>1755764003030.4021</v>
      </c>
      <c r="M43">
        <v>0.35</v>
      </c>
      <c r="N43" s="2">
        <f t="shared" si="6"/>
        <v>3.1443078456745757</v>
      </c>
      <c r="O43" s="2">
        <f t="shared" si="7"/>
        <v>26223527432.925961</v>
      </c>
      <c r="Q43">
        <v>0.35</v>
      </c>
      <c r="R43" s="2">
        <f t="shared" si="8"/>
        <v>524.04211924816661</v>
      </c>
      <c r="S43" s="2">
        <f t="shared" si="9"/>
        <v>4370511274529.7095</v>
      </c>
      <c r="U43">
        <v>0.35</v>
      </c>
      <c r="V43" s="2">
        <f t="shared" si="10"/>
        <v>212.98906657006816</v>
      </c>
      <c r="W43" s="2">
        <f t="shared" si="11"/>
        <v>1776328815194.3687</v>
      </c>
    </row>
    <row r="44" spans="1:23" x14ac:dyDescent="0.25">
      <c r="A44">
        <v>0.36</v>
      </c>
      <c r="B44" s="2">
        <f t="shared" si="0"/>
        <v>1.3729179459771125E-2</v>
      </c>
      <c r="C44" s="2">
        <f t="shared" si="1"/>
        <v>114501356.69449118</v>
      </c>
      <c r="E44">
        <v>0.36</v>
      </c>
      <c r="F44" s="2">
        <f t="shared" si="2"/>
        <v>207.28444234264111</v>
      </c>
      <c r="G44" s="2">
        <f t="shared" si="3"/>
        <v>1728752249137.627</v>
      </c>
      <c r="I44">
        <v>0.36</v>
      </c>
      <c r="J44" s="2">
        <f t="shared" si="4"/>
        <v>207.28444234264111</v>
      </c>
      <c r="K44" s="2">
        <f t="shared" si="5"/>
        <v>1728752249137.627</v>
      </c>
      <c r="M44">
        <v>0.36</v>
      </c>
      <c r="N44" s="2">
        <f t="shared" si="6"/>
        <v>3.0959338788180437</v>
      </c>
      <c r="O44" s="2">
        <f t="shared" si="7"/>
        <v>25820088549.342484</v>
      </c>
      <c r="Q44">
        <v>0.36</v>
      </c>
      <c r="R44" s="2">
        <f t="shared" si="8"/>
        <v>515.97993279819491</v>
      </c>
      <c r="S44" s="2">
        <f t="shared" si="9"/>
        <v>4303272639536.9453</v>
      </c>
      <c r="U44">
        <v>0.36</v>
      </c>
      <c r="V44" s="2">
        <f t="shared" si="10"/>
        <v>209.7123116997594</v>
      </c>
      <c r="W44" s="2">
        <f t="shared" si="11"/>
        <v>1749000679575.9934</v>
      </c>
    </row>
    <row r="45" spans="1:23" x14ac:dyDescent="0.25">
      <c r="A45">
        <v>0.37</v>
      </c>
      <c r="B45" s="2">
        <f t="shared" si="0"/>
        <v>1.3514661030712201E-2</v>
      </c>
      <c r="C45" s="2">
        <f t="shared" si="1"/>
        <v>112712272.99613975</v>
      </c>
      <c r="E45">
        <v>0.37</v>
      </c>
      <c r="F45" s="2">
        <f t="shared" si="2"/>
        <v>204.04562293103734</v>
      </c>
      <c r="G45" s="2">
        <f t="shared" si="3"/>
        <v>1701740495244.8516</v>
      </c>
      <c r="I45">
        <v>0.37</v>
      </c>
      <c r="J45" s="2">
        <f t="shared" si="4"/>
        <v>204.04562293103734</v>
      </c>
      <c r="K45" s="2">
        <f t="shared" si="5"/>
        <v>1701740495244.8516</v>
      </c>
      <c r="M45">
        <v>0.37</v>
      </c>
      <c r="N45" s="2">
        <f t="shared" si="6"/>
        <v>3.0475599119615118</v>
      </c>
      <c r="O45" s="2">
        <f t="shared" si="7"/>
        <v>25416649665.759007</v>
      </c>
      <c r="Q45">
        <v>0.37</v>
      </c>
      <c r="R45" s="2">
        <f t="shared" si="8"/>
        <v>507.91774634822303</v>
      </c>
      <c r="S45" s="2">
        <f t="shared" si="9"/>
        <v>4236034004544.1802</v>
      </c>
      <c r="U45">
        <v>0.37</v>
      </c>
      <c r="V45" s="2">
        <f t="shared" si="10"/>
        <v>206.43555682945066</v>
      </c>
      <c r="W45" s="2">
        <f t="shared" si="11"/>
        <v>1721672543957.6187</v>
      </c>
    </row>
    <row r="46" spans="1:23" x14ac:dyDescent="0.25">
      <c r="A46">
        <v>0.38</v>
      </c>
      <c r="B46" s="2">
        <f t="shared" si="0"/>
        <v>1.3300142601653277E-2</v>
      </c>
      <c r="C46" s="2">
        <f t="shared" si="1"/>
        <v>110923189.29778832</v>
      </c>
      <c r="E46">
        <v>0.38</v>
      </c>
      <c r="F46" s="2">
        <f t="shared" si="2"/>
        <v>200.8068035194336</v>
      </c>
      <c r="G46" s="2">
        <f t="shared" si="3"/>
        <v>1674728741352.0762</v>
      </c>
      <c r="I46">
        <v>0.38</v>
      </c>
      <c r="J46" s="2">
        <f t="shared" si="4"/>
        <v>200.8068035194336</v>
      </c>
      <c r="K46" s="2">
        <f t="shared" si="5"/>
        <v>1674728741352.0762</v>
      </c>
      <c r="M46">
        <v>0.38</v>
      </c>
      <c r="N46" s="2">
        <f t="shared" si="6"/>
        <v>2.9991859451049798</v>
      </c>
      <c r="O46" s="2">
        <f t="shared" si="7"/>
        <v>25013210782.175533</v>
      </c>
      <c r="Q46">
        <v>0.38</v>
      </c>
      <c r="R46" s="2">
        <f t="shared" si="8"/>
        <v>499.85555989825127</v>
      </c>
      <c r="S46" s="2">
        <f t="shared" si="9"/>
        <v>4168795369551.4155</v>
      </c>
      <c r="U46">
        <v>0.38</v>
      </c>
      <c r="V46" s="2">
        <f t="shared" si="10"/>
        <v>203.15880195914193</v>
      </c>
      <c r="W46" s="2">
        <f t="shared" si="11"/>
        <v>1694344408339.2437</v>
      </c>
    </row>
    <row r="47" spans="1:23" x14ac:dyDescent="0.25">
      <c r="A47">
        <v>0.39</v>
      </c>
      <c r="B47" s="2">
        <f t="shared" si="0"/>
        <v>1.3085624172594353E-2</v>
      </c>
      <c r="C47" s="2">
        <f t="shared" si="1"/>
        <v>109134105.59943691</v>
      </c>
      <c r="E47">
        <v>0.39</v>
      </c>
      <c r="F47" s="2">
        <f t="shared" si="2"/>
        <v>197.56798410782983</v>
      </c>
      <c r="G47" s="2">
        <f t="shared" si="3"/>
        <v>1647716987459.3005</v>
      </c>
      <c r="I47">
        <v>0.39</v>
      </c>
      <c r="J47" s="2">
        <f t="shared" si="4"/>
        <v>197.56798410782983</v>
      </c>
      <c r="K47" s="2">
        <f t="shared" si="5"/>
        <v>1647716987459.3005</v>
      </c>
      <c r="M47">
        <v>0.39</v>
      </c>
      <c r="N47" s="2">
        <f t="shared" si="6"/>
        <v>2.9508119782484479</v>
      </c>
      <c r="O47" s="2">
        <f t="shared" si="7"/>
        <v>24609771898.592056</v>
      </c>
      <c r="Q47">
        <v>0.39</v>
      </c>
      <c r="R47" s="2">
        <f t="shared" si="8"/>
        <v>491.79337344827945</v>
      </c>
      <c r="S47" s="2">
        <f t="shared" si="9"/>
        <v>4101556734558.6504</v>
      </c>
      <c r="U47">
        <v>0.39</v>
      </c>
      <c r="V47" s="2">
        <f t="shared" si="10"/>
        <v>199.88204708883319</v>
      </c>
      <c r="W47" s="2">
        <f t="shared" si="11"/>
        <v>1667016272720.8689</v>
      </c>
    </row>
    <row r="48" spans="1:23" x14ac:dyDescent="0.25">
      <c r="A48">
        <v>0.4</v>
      </c>
      <c r="B48" s="2">
        <f t="shared" si="0"/>
        <v>1.2871105743535428E-2</v>
      </c>
      <c r="C48" s="2">
        <f t="shared" si="1"/>
        <v>107345021.90108547</v>
      </c>
      <c r="E48">
        <v>0.4</v>
      </c>
      <c r="F48" s="2">
        <f t="shared" si="2"/>
        <v>194.32916469622606</v>
      </c>
      <c r="G48" s="2">
        <f t="shared" si="3"/>
        <v>1620705233566.5254</v>
      </c>
      <c r="I48">
        <v>0.4</v>
      </c>
      <c r="J48" s="2">
        <f t="shared" si="4"/>
        <v>194.32916469622606</v>
      </c>
      <c r="K48" s="2">
        <f t="shared" si="5"/>
        <v>1620705233566.5254</v>
      </c>
      <c r="M48">
        <v>0.4</v>
      </c>
      <c r="N48" s="2">
        <f t="shared" si="6"/>
        <v>2.9024380113919159</v>
      </c>
      <c r="O48" s="2">
        <f t="shared" si="7"/>
        <v>24206333015.008579</v>
      </c>
      <c r="Q48">
        <v>0.4</v>
      </c>
      <c r="R48" s="2">
        <f t="shared" si="8"/>
        <v>483.73118699830769</v>
      </c>
      <c r="S48" s="2">
        <f t="shared" si="9"/>
        <v>4034318099565.8862</v>
      </c>
      <c r="U48">
        <v>0.4</v>
      </c>
      <c r="V48" s="2">
        <f t="shared" si="10"/>
        <v>196.60529221852445</v>
      </c>
      <c r="W48" s="2">
        <f t="shared" si="11"/>
        <v>1639688137102.4941</v>
      </c>
    </row>
    <row r="49" spans="1:23" x14ac:dyDescent="0.25">
      <c r="A49">
        <v>0.41</v>
      </c>
      <c r="B49" s="2">
        <f t="shared" si="0"/>
        <v>1.2656587314476508E-2</v>
      </c>
      <c r="C49" s="2">
        <f t="shared" si="1"/>
        <v>105555938.20273407</v>
      </c>
      <c r="E49">
        <v>0.41</v>
      </c>
      <c r="F49" s="2">
        <f t="shared" si="2"/>
        <v>191.09034528462232</v>
      </c>
      <c r="G49" s="2">
        <f t="shared" si="3"/>
        <v>1593693479673.75</v>
      </c>
      <c r="I49">
        <v>0.41</v>
      </c>
      <c r="J49" s="2">
        <f t="shared" si="4"/>
        <v>191.09034528462232</v>
      </c>
      <c r="K49" s="2">
        <f t="shared" si="5"/>
        <v>1593693479673.75</v>
      </c>
      <c r="M49">
        <v>0.41</v>
      </c>
      <c r="N49" s="2">
        <f t="shared" si="6"/>
        <v>2.8540640445353844</v>
      </c>
      <c r="O49" s="2">
        <f t="shared" si="7"/>
        <v>23802894131.425106</v>
      </c>
      <c r="Q49">
        <v>0.41</v>
      </c>
      <c r="R49" s="2">
        <f t="shared" si="8"/>
        <v>475.66900054833599</v>
      </c>
      <c r="S49" s="2">
        <f t="shared" si="9"/>
        <v>3967079464573.1221</v>
      </c>
      <c r="U49">
        <v>0.41</v>
      </c>
      <c r="V49" s="2">
        <f t="shared" si="10"/>
        <v>193.32853734821575</v>
      </c>
      <c r="W49" s="2">
        <f t="shared" si="11"/>
        <v>1612360001484.1194</v>
      </c>
    </row>
    <row r="50" spans="1:23" x14ac:dyDescent="0.25">
      <c r="A50">
        <v>0.42</v>
      </c>
      <c r="B50" s="2">
        <f t="shared" si="0"/>
        <v>1.2442068885417584E-2</v>
      </c>
      <c r="C50" s="2">
        <f t="shared" si="1"/>
        <v>103766854.50438266</v>
      </c>
      <c r="E50">
        <v>0.42</v>
      </c>
      <c r="F50" s="2">
        <f t="shared" si="2"/>
        <v>187.85152587301855</v>
      </c>
      <c r="G50" s="2">
        <f t="shared" si="3"/>
        <v>1566681725780.9749</v>
      </c>
      <c r="I50">
        <v>0.42</v>
      </c>
      <c r="J50" s="2">
        <f t="shared" si="4"/>
        <v>187.85152587301855</v>
      </c>
      <c r="K50" s="2">
        <f t="shared" si="5"/>
        <v>1566681725780.9749</v>
      </c>
      <c r="M50">
        <v>0.42</v>
      </c>
      <c r="N50" s="2">
        <f t="shared" si="6"/>
        <v>2.8056900776788525</v>
      </c>
      <c r="O50" s="2">
        <f t="shared" si="7"/>
        <v>23399455247.841629</v>
      </c>
      <c r="Q50">
        <v>0.42</v>
      </c>
      <c r="R50" s="2">
        <f t="shared" si="8"/>
        <v>467.60681409836417</v>
      </c>
      <c r="S50" s="2">
        <f t="shared" si="9"/>
        <v>3899840829580.3569</v>
      </c>
      <c r="U50">
        <v>0.42</v>
      </c>
      <c r="V50" s="2">
        <f t="shared" si="10"/>
        <v>190.05178247790701</v>
      </c>
      <c r="W50" s="2">
        <f t="shared" si="11"/>
        <v>1585031865865.7444</v>
      </c>
    </row>
    <row r="51" spans="1:23" x14ac:dyDescent="0.25">
      <c r="A51">
        <v>0.43</v>
      </c>
      <c r="B51" s="2">
        <f t="shared" si="0"/>
        <v>1.2227550456358659E-2</v>
      </c>
      <c r="C51" s="2">
        <f t="shared" si="1"/>
        <v>101977770.80603121</v>
      </c>
      <c r="E51">
        <v>0.43</v>
      </c>
      <c r="F51" s="2">
        <f t="shared" si="2"/>
        <v>184.61270646141477</v>
      </c>
      <c r="G51" s="2">
        <f t="shared" si="3"/>
        <v>1539669971888.1992</v>
      </c>
      <c r="I51">
        <v>0.43</v>
      </c>
      <c r="J51" s="2">
        <f t="shared" si="4"/>
        <v>184.61270646141477</v>
      </c>
      <c r="K51" s="2">
        <f t="shared" si="5"/>
        <v>1539669971888.1992</v>
      </c>
      <c r="M51">
        <v>0.43</v>
      </c>
      <c r="N51" s="2">
        <f t="shared" si="6"/>
        <v>2.7573161108223205</v>
      </c>
      <c r="O51" s="2">
        <f t="shared" si="7"/>
        <v>22996016364.258152</v>
      </c>
      <c r="Q51">
        <v>0.43</v>
      </c>
      <c r="R51" s="2">
        <f t="shared" si="8"/>
        <v>459.54462764839241</v>
      </c>
      <c r="S51" s="2">
        <f t="shared" si="9"/>
        <v>3832602194587.5928</v>
      </c>
      <c r="U51">
        <v>0.43</v>
      </c>
      <c r="V51" s="2">
        <f t="shared" si="10"/>
        <v>186.77502760759828</v>
      </c>
      <c r="W51" s="2">
        <f t="shared" si="11"/>
        <v>1557703730247.3696</v>
      </c>
    </row>
    <row r="52" spans="1:23" x14ac:dyDescent="0.25">
      <c r="A52">
        <v>0.44</v>
      </c>
      <c r="B52" s="2">
        <f t="shared" si="0"/>
        <v>1.2013032027299735E-2</v>
      </c>
      <c r="C52" s="2">
        <f t="shared" si="1"/>
        <v>100188687.1076798</v>
      </c>
      <c r="E52">
        <v>0.44</v>
      </c>
      <c r="F52" s="2">
        <f t="shared" si="2"/>
        <v>181.373887049811</v>
      </c>
      <c r="G52" s="2">
        <f t="shared" si="3"/>
        <v>1512658217995.4238</v>
      </c>
      <c r="I52">
        <v>0.44</v>
      </c>
      <c r="J52" s="2">
        <f t="shared" si="4"/>
        <v>181.373887049811</v>
      </c>
      <c r="K52" s="2">
        <f t="shared" si="5"/>
        <v>1512658217995.4238</v>
      </c>
      <c r="M52">
        <v>0.44</v>
      </c>
      <c r="N52" s="2">
        <f t="shared" si="6"/>
        <v>2.7089421439657881</v>
      </c>
      <c r="O52" s="2">
        <f t="shared" si="7"/>
        <v>22592577480.674675</v>
      </c>
      <c r="Q52">
        <v>0.44</v>
      </c>
      <c r="R52" s="2">
        <f t="shared" si="8"/>
        <v>451.48244119842047</v>
      </c>
      <c r="S52" s="2">
        <f t="shared" si="9"/>
        <v>3765363559594.8267</v>
      </c>
      <c r="U52">
        <v>0.44</v>
      </c>
      <c r="V52" s="2">
        <f t="shared" si="10"/>
        <v>183.49827273728948</v>
      </c>
      <c r="W52" s="2">
        <f t="shared" si="11"/>
        <v>1530375594628.9944</v>
      </c>
    </row>
    <row r="53" spans="1:23" x14ac:dyDescent="0.25">
      <c r="A53">
        <v>0.45</v>
      </c>
      <c r="B53" s="2">
        <f t="shared" si="0"/>
        <v>1.1798513598240809E-2</v>
      </c>
      <c r="C53" s="2">
        <f t="shared" si="1"/>
        <v>98399603.409328356</v>
      </c>
      <c r="E53">
        <v>0.45</v>
      </c>
      <c r="F53" s="2">
        <f t="shared" si="2"/>
        <v>178.1350676382072</v>
      </c>
      <c r="G53" s="2">
        <f t="shared" si="3"/>
        <v>1485646464102.6482</v>
      </c>
      <c r="I53">
        <v>0.45</v>
      </c>
      <c r="J53" s="2">
        <f t="shared" si="4"/>
        <v>178.1350676382072</v>
      </c>
      <c r="K53" s="2">
        <f t="shared" si="5"/>
        <v>1485646464102.6482</v>
      </c>
      <c r="M53">
        <v>0.45</v>
      </c>
      <c r="N53" s="2">
        <f t="shared" si="6"/>
        <v>2.6605681771092562</v>
      </c>
      <c r="O53" s="2">
        <f t="shared" si="7"/>
        <v>22189138597.091198</v>
      </c>
      <c r="Q53">
        <v>0.45</v>
      </c>
      <c r="R53" s="2">
        <f t="shared" si="8"/>
        <v>443.42025474844871</v>
      </c>
      <c r="S53" s="2">
        <f t="shared" si="9"/>
        <v>3698124924602.062</v>
      </c>
      <c r="U53">
        <v>0.45</v>
      </c>
      <c r="V53" s="2">
        <f t="shared" si="10"/>
        <v>180.22151786698075</v>
      </c>
      <c r="W53" s="2">
        <f t="shared" si="11"/>
        <v>1503047459010.6194</v>
      </c>
    </row>
    <row r="54" spans="1:23" x14ac:dyDescent="0.25">
      <c r="A54">
        <v>0.46</v>
      </c>
      <c r="B54" s="2">
        <f t="shared" si="0"/>
        <v>1.1583995169181887E-2</v>
      </c>
      <c r="C54" s="2">
        <f t="shared" si="1"/>
        <v>96610519.710976928</v>
      </c>
      <c r="E54">
        <v>0.46</v>
      </c>
      <c r="F54" s="2">
        <f t="shared" si="2"/>
        <v>174.89624822660343</v>
      </c>
      <c r="G54" s="2">
        <f t="shared" si="3"/>
        <v>1458634710209.8726</v>
      </c>
      <c r="I54">
        <v>0.46</v>
      </c>
      <c r="J54" s="2">
        <f t="shared" si="4"/>
        <v>174.89624822660343</v>
      </c>
      <c r="K54" s="2">
        <f t="shared" si="5"/>
        <v>1458634710209.8726</v>
      </c>
      <c r="M54">
        <v>0.46</v>
      </c>
      <c r="N54" s="2">
        <f t="shared" si="6"/>
        <v>2.6121942102527242</v>
      </c>
      <c r="O54" s="2">
        <f t="shared" si="7"/>
        <v>21785699713.507721</v>
      </c>
      <c r="Q54">
        <v>0.46</v>
      </c>
      <c r="R54" s="2">
        <f t="shared" si="8"/>
        <v>435.35806829847689</v>
      </c>
      <c r="S54" s="2">
        <f t="shared" si="9"/>
        <v>3630886289609.2974</v>
      </c>
      <c r="U54">
        <v>0.46</v>
      </c>
      <c r="V54" s="2">
        <f t="shared" si="10"/>
        <v>176.94476299667201</v>
      </c>
      <c r="W54" s="2">
        <f t="shared" si="11"/>
        <v>1475719323392.2446</v>
      </c>
    </row>
    <row r="55" spans="1:23" x14ac:dyDescent="0.25">
      <c r="A55">
        <v>0.47</v>
      </c>
      <c r="B55" s="2">
        <f t="shared" si="0"/>
        <v>1.1369476740122963E-2</v>
      </c>
      <c r="C55" s="2">
        <f t="shared" si="1"/>
        <v>94821436.012625501</v>
      </c>
      <c r="E55">
        <v>0.47</v>
      </c>
      <c r="F55" s="2">
        <f t="shared" si="2"/>
        <v>171.65742881499969</v>
      </c>
      <c r="G55" s="2">
        <f t="shared" si="3"/>
        <v>1431622956317.0974</v>
      </c>
      <c r="I55">
        <v>0.47</v>
      </c>
      <c r="J55" s="2">
        <f t="shared" si="4"/>
        <v>171.65742881499969</v>
      </c>
      <c r="K55" s="2">
        <f t="shared" si="5"/>
        <v>1431622956317.0974</v>
      </c>
      <c r="M55">
        <v>0.47</v>
      </c>
      <c r="N55" s="2">
        <f t="shared" si="6"/>
        <v>2.5638202433961923</v>
      </c>
      <c r="O55" s="2">
        <f t="shared" si="7"/>
        <v>21382260829.924244</v>
      </c>
      <c r="Q55">
        <v>0.47</v>
      </c>
      <c r="R55" s="2">
        <f t="shared" si="8"/>
        <v>427.29588184850513</v>
      </c>
      <c r="S55" s="2">
        <f t="shared" si="9"/>
        <v>3563647654616.5332</v>
      </c>
      <c r="U55">
        <v>0.47</v>
      </c>
      <c r="V55" s="2">
        <f t="shared" si="10"/>
        <v>173.66800812636325</v>
      </c>
      <c r="W55" s="2">
        <f t="shared" si="11"/>
        <v>1448391187773.8694</v>
      </c>
    </row>
    <row r="56" spans="1:23" x14ac:dyDescent="0.25">
      <c r="A56">
        <v>0.48</v>
      </c>
      <c r="B56" s="2">
        <f t="shared" si="0"/>
        <v>1.1154958311064039E-2</v>
      </c>
      <c r="C56" s="2">
        <f t="shared" si="1"/>
        <v>93032352.314274073</v>
      </c>
      <c r="E56">
        <v>0.48</v>
      </c>
      <c r="F56" s="2">
        <f t="shared" si="2"/>
        <v>168.41860940339592</v>
      </c>
      <c r="G56" s="2">
        <f t="shared" si="3"/>
        <v>1404611202424.3218</v>
      </c>
      <c r="I56">
        <v>0.48</v>
      </c>
      <c r="J56" s="2">
        <f t="shared" si="4"/>
        <v>168.41860940339592</v>
      </c>
      <c r="K56" s="2">
        <f t="shared" si="5"/>
        <v>1404611202424.3218</v>
      </c>
      <c r="M56">
        <v>0.48</v>
      </c>
      <c r="N56" s="2">
        <f t="shared" si="6"/>
        <v>2.5154462765396604</v>
      </c>
      <c r="O56" s="2">
        <f t="shared" si="7"/>
        <v>20978821946.340767</v>
      </c>
      <c r="Q56">
        <v>0.48</v>
      </c>
      <c r="R56" s="2">
        <f t="shared" si="8"/>
        <v>419.23369539853331</v>
      </c>
      <c r="S56" s="2">
        <f t="shared" si="9"/>
        <v>3496409019623.7681</v>
      </c>
      <c r="U56">
        <v>0.48</v>
      </c>
      <c r="V56" s="2">
        <f t="shared" si="10"/>
        <v>170.39125325605451</v>
      </c>
      <c r="W56" s="2">
        <f t="shared" si="11"/>
        <v>1421063052155.4946</v>
      </c>
    </row>
    <row r="57" spans="1:23" x14ac:dyDescent="0.25">
      <c r="A57">
        <v>0.49</v>
      </c>
      <c r="B57" s="2">
        <f t="shared" si="0"/>
        <v>1.0940439882005114E-2</v>
      </c>
      <c r="C57" s="2">
        <f t="shared" si="1"/>
        <v>91243268.615922645</v>
      </c>
      <c r="E57">
        <v>0.49</v>
      </c>
      <c r="F57" s="2">
        <f t="shared" si="2"/>
        <v>165.17978999179215</v>
      </c>
      <c r="G57" s="2">
        <f t="shared" si="3"/>
        <v>1377599448531.5466</v>
      </c>
      <c r="I57">
        <v>0.49</v>
      </c>
      <c r="J57" s="2">
        <f t="shared" si="4"/>
        <v>165.17978999179215</v>
      </c>
      <c r="K57" s="2">
        <f t="shared" si="5"/>
        <v>1377599448531.5466</v>
      </c>
      <c r="M57">
        <v>0.49</v>
      </c>
      <c r="N57" s="2">
        <f t="shared" si="6"/>
        <v>2.4670723096831284</v>
      </c>
      <c r="O57" s="2">
        <f t="shared" si="7"/>
        <v>20575383062.75729</v>
      </c>
      <c r="Q57">
        <v>0.49</v>
      </c>
      <c r="R57" s="2">
        <f t="shared" si="8"/>
        <v>411.17150894856155</v>
      </c>
      <c r="S57" s="2">
        <f t="shared" si="9"/>
        <v>3429170384631.0029</v>
      </c>
      <c r="U57">
        <v>0.49</v>
      </c>
      <c r="V57" s="2">
        <f t="shared" si="10"/>
        <v>167.11449838574578</v>
      </c>
      <c r="W57" s="2">
        <f t="shared" si="11"/>
        <v>1393734916537.1199</v>
      </c>
    </row>
    <row r="58" spans="1:23" x14ac:dyDescent="0.25">
      <c r="A58">
        <v>0.5</v>
      </c>
      <c r="B58" s="2">
        <f t="shared" si="0"/>
        <v>1.072592145294619E-2</v>
      </c>
      <c r="C58" s="2">
        <f t="shared" si="1"/>
        <v>89454184.917571217</v>
      </c>
      <c r="E58">
        <v>0.5</v>
      </c>
      <c r="F58" s="2">
        <f t="shared" si="2"/>
        <v>161.94097058018838</v>
      </c>
      <c r="G58" s="2">
        <f t="shared" si="3"/>
        <v>1350587694638.771</v>
      </c>
      <c r="I58">
        <v>0.5</v>
      </c>
      <c r="J58" s="2">
        <f t="shared" si="4"/>
        <v>161.94097058018838</v>
      </c>
      <c r="K58" s="2">
        <f t="shared" si="5"/>
        <v>1350587694638.771</v>
      </c>
      <c r="M58">
        <v>0.5</v>
      </c>
      <c r="N58" s="2">
        <f t="shared" si="6"/>
        <v>2.4186983428265965</v>
      </c>
      <c r="O58" s="2">
        <f t="shared" si="7"/>
        <v>20171944179.173813</v>
      </c>
      <c r="Q58">
        <v>0.5</v>
      </c>
      <c r="R58" s="2">
        <f t="shared" si="8"/>
        <v>403.10932249858973</v>
      </c>
      <c r="S58" s="2">
        <f t="shared" si="9"/>
        <v>3361931749638.2383</v>
      </c>
      <c r="U58">
        <v>0.5</v>
      </c>
      <c r="V58" s="2">
        <f t="shared" si="10"/>
        <v>163.83774351543704</v>
      </c>
      <c r="W58" s="2">
        <f t="shared" si="11"/>
        <v>1366406780918.7449</v>
      </c>
    </row>
    <row r="59" spans="1:23" x14ac:dyDescent="0.25">
      <c r="A59">
        <v>0.51</v>
      </c>
      <c r="B59" s="2">
        <f t="shared" si="0"/>
        <v>1.0511403023887268E-2</v>
      </c>
      <c r="C59" s="2">
        <f t="shared" si="1"/>
        <v>87665101.219219819</v>
      </c>
      <c r="E59">
        <v>0.51</v>
      </c>
      <c r="F59" s="2">
        <f t="shared" si="2"/>
        <v>158.70215116858461</v>
      </c>
      <c r="G59" s="2">
        <f t="shared" si="3"/>
        <v>1323575940745.9956</v>
      </c>
      <c r="I59">
        <v>0.51</v>
      </c>
      <c r="J59" s="2">
        <f t="shared" si="4"/>
        <v>158.70215116858461</v>
      </c>
      <c r="K59" s="2">
        <f t="shared" si="5"/>
        <v>1323575940745.9956</v>
      </c>
      <c r="M59">
        <v>0.51</v>
      </c>
      <c r="N59" s="2">
        <f t="shared" si="6"/>
        <v>2.3703243759700645</v>
      </c>
      <c r="O59" s="2">
        <f t="shared" si="7"/>
        <v>19768505295.59034</v>
      </c>
      <c r="Q59">
        <v>0.51</v>
      </c>
      <c r="R59" s="2">
        <f t="shared" si="8"/>
        <v>395.04713604861792</v>
      </c>
      <c r="S59" s="2">
        <f t="shared" si="9"/>
        <v>3294693114645.4731</v>
      </c>
      <c r="U59">
        <v>0.51</v>
      </c>
      <c r="V59" s="2">
        <f t="shared" si="10"/>
        <v>160.5609886451283</v>
      </c>
      <c r="W59" s="2">
        <f t="shared" si="11"/>
        <v>1339078645300.3699</v>
      </c>
    </row>
    <row r="60" spans="1:23" x14ac:dyDescent="0.25">
      <c r="A60">
        <v>0.52</v>
      </c>
      <c r="B60" s="2">
        <f t="shared" si="0"/>
        <v>1.0296884594828344E-2</v>
      </c>
      <c r="C60" s="2">
        <f t="shared" si="1"/>
        <v>85876017.520868391</v>
      </c>
      <c r="E60">
        <v>0.52</v>
      </c>
      <c r="F60" s="2">
        <f t="shared" si="2"/>
        <v>155.46333175698084</v>
      </c>
      <c r="G60" s="2">
        <f t="shared" si="3"/>
        <v>1296564186853.2202</v>
      </c>
      <c r="I60">
        <v>0.52</v>
      </c>
      <c r="J60" s="2">
        <f t="shared" si="4"/>
        <v>155.46333175698084</v>
      </c>
      <c r="K60" s="2">
        <f t="shared" si="5"/>
        <v>1296564186853.2202</v>
      </c>
      <c r="M60">
        <v>0.52</v>
      </c>
      <c r="N60" s="2">
        <f t="shared" si="6"/>
        <v>2.3219504091135326</v>
      </c>
      <c r="O60" s="2">
        <f t="shared" si="7"/>
        <v>19365066412.006863</v>
      </c>
      <c r="Q60">
        <v>0.52</v>
      </c>
      <c r="R60" s="2">
        <f t="shared" si="8"/>
        <v>386.98494959864615</v>
      </c>
      <c r="S60" s="2">
        <f t="shared" si="9"/>
        <v>3227454479652.709</v>
      </c>
      <c r="U60">
        <v>0.52</v>
      </c>
      <c r="V60" s="2">
        <f t="shared" si="10"/>
        <v>157.28423377481957</v>
      </c>
      <c r="W60" s="2">
        <f t="shared" si="11"/>
        <v>1311750509681.9951</v>
      </c>
    </row>
    <row r="61" spans="1:23" x14ac:dyDescent="0.25">
      <c r="A61">
        <v>0.53</v>
      </c>
      <c r="B61" s="2">
        <f t="shared" si="0"/>
        <v>1.008236616576942E-2</v>
      </c>
      <c r="C61" s="2">
        <f t="shared" si="1"/>
        <v>84086933.822516963</v>
      </c>
      <c r="E61">
        <v>0.53</v>
      </c>
      <c r="F61" s="2">
        <f t="shared" si="2"/>
        <v>152.22451234537706</v>
      </c>
      <c r="G61" s="2">
        <f t="shared" si="3"/>
        <v>1269552432960.4446</v>
      </c>
      <c r="I61">
        <v>0.53</v>
      </c>
      <c r="J61" s="2">
        <f t="shared" si="4"/>
        <v>152.22451234537706</v>
      </c>
      <c r="K61" s="2">
        <f t="shared" si="5"/>
        <v>1269552432960.4446</v>
      </c>
      <c r="M61">
        <v>0.53</v>
      </c>
      <c r="N61" s="2">
        <f t="shared" si="6"/>
        <v>2.2735764422570006</v>
      </c>
      <c r="O61" s="2">
        <f t="shared" si="7"/>
        <v>18961627528.423386</v>
      </c>
      <c r="Q61">
        <v>0.53</v>
      </c>
      <c r="R61" s="2">
        <f t="shared" si="8"/>
        <v>378.92276314867433</v>
      </c>
      <c r="S61" s="2">
        <f t="shared" si="9"/>
        <v>3160215844659.9438</v>
      </c>
      <c r="U61">
        <v>0.53</v>
      </c>
      <c r="V61" s="2">
        <f t="shared" si="10"/>
        <v>154.0074789045108</v>
      </c>
      <c r="W61" s="2">
        <f t="shared" si="11"/>
        <v>1284422374063.6201</v>
      </c>
    </row>
    <row r="62" spans="1:23" x14ac:dyDescent="0.25">
      <c r="A62">
        <v>0.54</v>
      </c>
      <c r="B62" s="2">
        <f t="shared" si="0"/>
        <v>9.8678477367104955E-3</v>
      </c>
      <c r="C62" s="2">
        <f t="shared" si="1"/>
        <v>82297850.124165535</v>
      </c>
      <c r="E62">
        <v>0.54</v>
      </c>
      <c r="F62" s="2">
        <f t="shared" si="2"/>
        <v>148.98569293377329</v>
      </c>
      <c r="G62" s="2">
        <f t="shared" si="3"/>
        <v>1242540679067.6692</v>
      </c>
      <c r="I62">
        <v>0.54</v>
      </c>
      <c r="J62" s="2">
        <f t="shared" si="4"/>
        <v>148.98569293377329</v>
      </c>
      <c r="K62" s="2">
        <f t="shared" si="5"/>
        <v>1242540679067.6692</v>
      </c>
      <c r="M62">
        <v>0.54</v>
      </c>
      <c r="N62" s="2">
        <f t="shared" si="6"/>
        <v>2.2252024754004687</v>
      </c>
      <c r="O62" s="2">
        <f t="shared" si="7"/>
        <v>18558188644.839909</v>
      </c>
      <c r="Q62">
        <v>0.54</v>
      </c>
      <c r="R62" s="2">
        <f t="shared" si="8"/>
        <v>370.86057669870252</v>
      </c>
      <c r="S62" s="2">
        <f t="shared" si="9"/>
        <v>3092977209667.1792</v>
      </c>
      <c r="U62">
        <v>0.54</v>
      </c>
      <c r="V62" s="2">
        <f t="shared" si="10"/>
        <v>150.73072403420207</v>
      </c>
      <c r="W62" s="2">
        <f t="shared" si="11"/>
        <v>1257094238445.2454</v>
      </c>
    </row>
    <row r="63" spans="1:23" x14ac:dyDescent="0.25">
      <c r="A63">
        <v>0.55000000000000004</v>
      </c>
      <c r="B63" s="2">
        <f t="shared" si="0"/>
        <v>9.6533293076515713E-3</v>
      </c>
      <c r="C63" s="2">
        <f t="shared" si="1"/>
        <v>80508766.425814107</v>
      </c>
      <c r="E63">
        <v>0.55000000000000004</v>
      </c>
      <c r="F63" s="2">
        <f t="shared" si="2"/>
        <v>145.74687352216955</v>
      </c>
      <c r="G63" s="2">
        <f t="shared" si="3"/>
        <v>1215528925174.894</v>
      </c>
      <c r="I63">
        <v>0.55000000000000004</v>
      </c>
      <c r="J63" s="2">
        <f t="shared" si="4"/>
        <v>145.74687352216955</v>
      </c>
      <c r="K63" s="2">
        <f t="shared" si="5"/>
        <v>1215528925174.894</v>
      </c>
      <c r="M63">
        <v>0.55000000000000004</v>
      </c>
      <c r="N63" s="2">
        <f t="shared" si="6"/>
        <v>2.1768285085439367</v>
      </c>
      <c r="O63" s="2">
        <f t="shared" si="7"/>
        <v>18154749761.256432</v>
      </c>
      <c r="Q63">
        <v>0.55000000000000004</v>
      </c>
      <c r="R63" s="2">
        <f t="shared" si="8"/>
        <v>362.7983902487307</v>
      </c>
      <c r="S63" s="2">
        <f t="shared" si="9"/>
        <v>3025738574674.4141</v>
      </c>
      <c r="U63">
        <v>0.55000000000000004</v>
      </c>
      <c r="V63" s="2">
        <f t="shared" si="10"/>
        <v>147.4539691638933</v>
      </c>
      <c r="W63" s="2">
        <f t="shared" si="11"/>
        <v>1229766102826.8701</v>
      </c>
    </row>
    <row r="64" spans="1:23" x14ac:dyDescent="0.25">
      <c r="A64">
        <v>0.56000000000000005</v>
      </c>
      <c r="B64" s="2">
        <f t="shared" si="0"/>
        <v>9.4388108785926454E-3</v>
      </c>
      <c r="C64" s="2">
        <f t="shared" si="1"/>
        <v>78719682.727462664</v>
      </c>
      <c r="E64">
        <v>0.56000000000000005</v>
      </c>
      <c r="F64" s="2">
        <f t="shared" si="2"/>
        <v>142.50805411056575</v>
      </c>
      <c r="G64" s="2">
        <f t="shared" si="3"/>
        <v>1188517171282.1184</v>
      </c>
      <c r="I64">
        <v>0.56000000000000005</v>
      </c>
      <c r="J64" s="2">
        <f t="shared" si="4"/>
        <v>142.50805411056575</v>
      </c>
      <c r="K64" s="2">
        <f t="shared" si="5"/>
        <v>1188517171282.1184</v>
      </c>
      <c r="M64">
        <v>0.56000000000000005</v>
      </c>
      <c r="N64" s="2">
        <f t="shared" si="6"/>
        <v>2.1284545416874048</v>
      </c>
      <c r="O64" s="2">
        <f t="shared" si="7"/>
        <v>17751310877.672955</v>
      </c>
      <c r="Q64">
        <v>0.56000000000000005</v>
      </c>
      <c r="R64" s="2">
        <f t="shared" si="8"/>
        <v>354.73620379875894</v>
      </c>
      <c r="S64" s="2">
        <f t="shared" si="9"/>
        <v>2958499939681.6494</v>
      </c>
      <c r="U64">
        <v>0.56000000000000005</v>
      </c>
      <c r="V64" s="2">
        <f t="shared" si="10"/>
        <v>144.17721429358457</v>
      </c>
      <c r="W64" s="2">
        <f t="shared" si="11"/>
        <v>1202437967208.4954</v>
      </c>
    </row>
    <row r="65" spans="1:23" x14ac:dyDescent="0.25">
      <c r="A65">
        <v>0.56999999999999995</v>
      </c>
      <c r="B65" s="2">
        <f t="shared" si="0"/>
        <v>9.2242924495337265E-3</v>
      </c>
      <c r="C65" s="2">
        <f t="shared" si="1"/>
        <v>76930599.029111281</v>
      </c>
      <c r="E65">
        <v>0.56999999999999995</v>
      </c>
      <c r="F65" s="2">
        <f t="shared" si="2"/>
        <v>139.26923469896204</v>
      </c>
      <c r="G65" s="2">
        <f t="shared" si="3"/>
        <v>1161505417389.3433</v>
      </c>
      <c r="I65">
        <v>0.56999999999999995</v>
      </c>
      <c r="J65" s="2">
        <f t="shared" si="4"/>
        <v>139.26923469896204</v>
      </c>
      <c r="K65" s="2">
        <f t="shared" si="5"/>
        <v>1161505417389.3433</v>
      </c>
      <c r="M65">
        <v>0.56999999999999995</v>
      </c>
      <c r="N65" s="2">
        <f t="shared" si="6"/>
        <v>2.0800805748308733</v>
      </c>
      <c r="O65" s="2">
        <f t="shared" si="7"/>
        <v>17347871994.089485</v>
      </c>
      <c r="Q65">
        <v>0.56999999999999995</v>
      </c>
      <c r="R65" s="2">
        <f t="shared" si="8"/>
        <v>346.67401734878723</v>
      </c>
      <c r="S65" s="2">
        <f t="shared" si="9"/>
        <v>2891261304688.8853</v>
      </c>
      <c r="U65">
        <v>0.56999999999999995</v>
      </c>
      <c r="V65" s="2">
        <f t="shared" si="10"/>
        <v>140.90045942327586</v>
      </c>
      <c r="W65" s="2">
        <f t="shared" si="11"/>
        <v>1175109831590.1206</v>
      </c>
    </row>
    <row r="66" spans="1:23" x14ac:dyDescent="0.25">
      <c r="A66">
        <v>0.57999999999999996</v>
      </c>
      <c r="B66" s="2">
        <f t="shared" si="0"/>
        <v>9.0097740204748006E-3</v>
      </c>
      <c r="C66" s="2">
        <f t="shared" si="1"/>
        <v>75141515.330759838</v>
      </c>
      <c r="E66">
        <v>0.57999999999999996</v>
      </c>
      <c r="F66" s="2">
        <f t="shared" si="2"/>
        <v>136.03041528735824</v>
      </c>
      <c r="G66" s="2">
        <f t="shared" si="3"/>
        <v>1134493663496.5676</v>
      </c>
      <c r="I66">
        <v>0.57999999999999996</v>
      </c>
      <c r="J66" s="2">
        <f t="shared" si="4"/>
        <v>136.03041528735824</v>
      </c>
      <c r="K66" s="2">
        <f t="shared" si="5"/>
        <v>1134493663496.5676</v>
      </c>
      <c r="M66">
        <v>0.57999999999999996</v>
      </c>
      <c r="N66" s="2">
        <f t="shared" si="6"/>
        <v>2.0317066079743413</v>
      </c>
      <c r="O66" s="2">
        <f t="shared" si="7"/>
        <v>16944433110.506008</v>
      </c>
      <c r="Q66">
        <v>0.57999999999999996</v>
      </c>
      <c r="R66" s="2">
        <f t="shared" si="8"/>
        <v>338.61183089881541</v>
      </c>
      <c r="S66" s="2">
        <f t="shared" si="9"/>
        <v>2824022669696.1206</v>
      </c>
      <c r="U66">
        <v>0.57999999999999996</v>
      </c>
      <c r="V66" s="2">
        <f t="shared" si="10"/>
        <v>137.62370455296713</v>
      </c>
      <c r="W66" s="2">
        <f t="shared" si="11"/>
        <v>1147781695971.7458</v>
      </c>
    </row>
    <row r="67" spans="1:23" x14ac:dyDescent="0.25">
      <c r="A67">
        <v>0.59</v>
      </c>
      <c r="B67" s="2">
        <f t="shared" si="0"/>
        <v>8.7952555914158782E-3</v>
      </c>
      <c r="C67" s="2">
        <f t="shared" si="1"/>
        <v>73352431.632408425</v>
      </c>
      <c r="E67">
        <v>0.59</v>
      </c>
      <c r="F67" s="2">
        <f t="shared" si="2"/>
        <v>132.7915958757545</v>
      </c>
      <c r="G67" s="2">
        <f t="shared" si="3"/>
        <v>1107481909603.7925</v>
      </c>
      <c r="I67">
        <v>0.59</v>
      </c>
      <c r="J67" s="2">
        <f t="shared" si="4"/>
        <v>132.7915958757545</v>
      </c>
      <c r="K67" s="2">
        <f t="shared" si="5"/>
        <v>1107481909603.7925</v>
      </c>
      <c r="M67">
        <v>0.59</v>
      </c>
      <c r="N67" s="2">
        <f t="shared" si="6"/>
        <v>1.9833326411178094</v>
      </c>
      <c r="O67" s="2">
        <f t="shared" si="7"/>
        <v>16540994226.922531</v>
      </c>
      <c r="Q67">
        <v>0.59</v>
      </c>
      <c r="R67" s="2">
        <f t="shared" si="8"/>
        <v>330.54964444884365</v>
      </c>
      <c r="S67" s="2">
        <f t="shared" si="9"/>
        <v>2756784034703.356</v>
      </c>
      <c r="U67">
        <v>0.59</v>
      </c>
      <c r="V67" s="2">
        <f t="shared" si="10"/>
        <v>134.34694968265839</v>
      </c>
      <c r="W67" s="2">
        <f t="shared" si="11"/>
        <v>1120453560353.3711</v>
      </c>
    </row>
    <row r="68" spans="1:23" x14ac:dyDescent="0.25">
      <c r="A68">
        <v>0.6</v>
      </c>
      <c r="B68" s="2">
        <f t="shared" si="0"/>
        <v>8.5807371623569523E-3</v>
      </c>
      <c r="C68" s="2">
        <f t="shared" si="1"/>
        <v>71563347.934056982</v>
      </c>
      <c r="E68">
        <v>0.6</v>
      </c>
      <c r="F68" s="2">
        <f t="shared" si="2"/>
        <v>129.5527764641507</v>
      </c>
      <c r="G68" s="2">
        <f t="shared" si="3"/>
        <v>1080470155711.0168</v>
      </c>
      <c r="I68">
        <v>0.6</v>
      </c>
      <c r="J68" s="2">
        <f t="shared" si="4"/>
        <v>129.5527764641507</v>
      </c>
      <c r="K68" s="2">
        <f t="shared" si="5"/>
        <v>1080470155711.0168</v>
      </c>
      <c r="M68">
        <v>0.6</v>
      </c>
      <c r="N68" s="2">
        <f t="shared" si="6"/>
        <v>1.9349586742612772</v>
      </c>
      <c r="O68" s="2">
        <f t="shared" si="7"/>
        <v>16137555343.33905</v>
      </c>
      <c r="Q68">
        <v>0.6</v>
      </c>
      <c r="R68" s="2">
        <f t="shared" si="8"/>
        <v>322.48745799887178</v>
      </c>
      <c r="S68" s="2">
        <f t="shared" si="9"/>
        <v>2689545399710.5903</v>
      </c>
      <c r="U68">
        <v>0.6</v>
      </c>
      <c r="V68" s="2">
        <f t="shared" si="10"/>
        <v>131.07019481234963</v>
      </c>
      <c r="W68" s="2">
        <f t="shared" si="11"/>
        <v>1093125424734.9958</v>
      </c>
    </row>
    <row r="69" spans="1:23" x14ac:dyDescent="0.25">
      <c r="A69">
        <v>0.61</v>
      </c>
      <c r="B69" s="2">
        <f t="shared" si="0"/>
        <v>8.3662187332980281E-3</v>
      </c>
      <c r="C69" s="2">
        <f t="shared" si="1"/>
        <v>69774264.235705554</v>
      </c>
      <c r="E69">
        <v>0.61</v>
      </c>
      <c r="F69" s="2">
        <f t="shared" si="2"/>
        <v>126.31395705254694</v>
      </c>
      <c r="G69" s="2">
        <f t="shared" si="3"/>
        <v>1053458401818.2415</v>
      </c>
      <c r="I69">
        <v>0.61</v>
      </c>
      <c r="J69" s="2">
        <f t="shared" si="4"/>
        <v>126.31395705254694</v>
      </c>
      <c r="K69" s="2">
        <f t="shared" si="5"/>
        <v>1053458401818.2415</v>
      </c>
      <c r="M69">
        <v>0.61</v>
      </c>
      <c r="N69" s="2">
        <f t="shared" si="6"/>
        <v>1.8865847074047453</v>
      </c>
      <c r="O69" s="2">
        <f t="shared" si="7"/>
        <v>15734116459.755575</v>
      </c>
      <c r="Q69">
        <v>0.61</v>
      </c>
      <c r="R69" s="2">
        <f t="shared" si="8"/>
        <v>314.42527154890001</v>
      </c>
      <c r="S69" s="2">
        <f t="shared" si="9"/>
        <v>2622306764717.8262</v>
      </c>
      <c r="U69">
        <v>0.61</v>
      </c>
      <c r="V69" s="2">
        <f t="shared" si="10"/>
        <v>127.79343994204089</v>
      </c>
      <c r="W69" s="2">
        <f t="shared" si="11"/>
        <v>1065797289116.621</v>
      </c>
    </row>
    <row r="70" spans="1:23" x14ac:dyDescent="0.25">
      <c r="A70">
        <v>0.62</v>
      </c>
      <c r="B70" s="2">
        <f t="shared" si="0"/>
        <v>8.1517003042391057E-3</v>
      </c>
      <c r="C70" s="2">
        <f t="shared" si="1"/>
        <v>67985180.537354141</v>
      </c>
      <c r="E70">
        <v>0.62</v>
      </c>
      <c r="F70" s="2">
        <f t="shared" si="2"/>
        <v>123.07513764094317</v>
      </c>
      <c r="G70" s="2">
        <f t="shared" si="3"/>
        <v>1026446647925.4659</v>
      </c>
      <c r="I70">
        <v>0.62</v>
      </c>
      <c r="J70" s="2">
        <f t="shared" si="4"/>
        <v>123.07513764094317</v>
      </c>
      <c r="K70" s="2">
        <f t="shared" si="5"/>
        <v>1026446647925.4659</v>
      </c>
      <c r="M70">
        <v>0.62</v>
      </c>
      <c r="N70" s="2">
        <f t="shared" si="6"/>
        <v>1.8382107405482133</v>
      </c>
      <c r="O70" s="2">
        <f t="shared" si="7"/>
        <v>15330677576.1721</v>
      </c>
      <c r="Q70">
        <v>0.62</v>
      </c>
      <c r="R70" s="2">
        <f t="shared" si="8"/>
        <v>306.3630850989282</v>
      </c>
      <c r="S70" s="2">
        <f t="shared" si="9"/>
        <v>2555068129725.0615</v>
      </c>
      <c r="U70">
        <v>0.62</v>
      </c>
      <c r="V70" s="2">
        <f t="shared" si="10"/>
        <v>124.51668507173216</v>
      </c>
      <c r="W70" s="2">
        <f t="shared" si="11"/>
        <v>1038469153498.2462</v>
      </c>
    </row>
    <row r="71" spans="1:23" x14ac:dyDescent="0.25">
      <c r="A71">
        <v>0.63</v>
      </c>
      <c r="B71" s="2">
        <f t="shared" si="0"/>
        <v>7.9371818751801815E-3</v>
      </c>
      <c r="C71" s="2">
        <f t="shared" si="1"/>
        <v>66196096.839002714</v>
      </c>
      <c r="E71">
        <v>0.63</v>
      </c>
      <c r="F71" s="2">
        <f t="shared" si="2"/>
        <v>119.8363182293394</v>
      </c>
      <c r="G71" s="2">
        <f t="shared" si="3"/>
        <v>999434894032.69067</v>
      </c>
      <c r="I71">
        <v>0.63</v>
      </c>
      <c r="J71" s="2">
        <f t="shared" si="4"/>
        <v>119.8363182293394</v>
      </c>
      <c r="K71" s="2">
        <f t="shared" si="5"/>
        <v>999434894032.69067</v>
      </c>
      <c r="M71">
        <v>0.63</v>
      </c>
      <c r="N71" s="2">
        <f t="shared" si="6"/>
        <v>1.7898367736916814</v>
      </c>
      <c r="O71" s="2">
        <f t="shared" si="7"/>
        <v>14927238692.588623</v>
      </c>
      <c r="Q71">
        <v>0.63</v>
      </c>
      <c r="R71" s="2">
        <f t="shared" si="8"/>
        <v>298.30089864895638</v>
      </c>
      <c r="S71" s="2">
        <f t="shared" si="9"/>
        <v>2487829494732.2964</v>
      </c>
      <c r="U71">
        <v>0.63</v>
      </c>
      <c r="V71" s="2">
        <f t="shared" si="10"/>
        <v>121.23993020142341</v>
      </c>
      <c r="W71" s="2">
        <f t="shared" si="11"/>
        <v>1011141017879.8712</v>
      </c>
    </row>
    <row r="72" spans="1:23" x14ac:dyDescent="0.25">
      <c r="A72">
        <v>0.64</v>
      </c>
      <c r="B72" s="2">
        <f t="shared" si="0"/>
        <v>7.7226634461212574E-3</v>
      </c>
      <c r="C72" s="2">
        <f t="shared" si="1"/>
        <v>64407013.140651286</v>
      </c>
      <c r="E72">
        <v>0.64</v>
      </c>
      <c r="F72" s="2">
        <f t="shared" si="2"/>
        <v>116.59749881773563</v>
      </c>
      <c r="G72" s="2">
        <f t="shared" si="3"/>
        <v>972423140139.91516</v>
      </c>
      <c r="I72">
        <v>0.64</v>
      </c>
      <c r="J72" s="2">
        <f t="shared" si="4"/>
        <v>116.59749881773563</v>
      </c>
      <c r="K72" s="2">
        <f t="shared" si="5"/>
        <v>972423140139.91516</v>
      </c>
      <c r="M72">
        <v>0.64</v>
      </c>
      <c r="N72" s="2">
        <f t="shared" si="6"/>
        <v>1.7414628068351494</v>
      </c>
      <c r="O72" s="2">
        <f t="shared" si="7"/>
        <v>14523799809.005146</v>
      </c>
      <c r="Q72">
        <v>0.64</v>
      </c>
      <c r="R72" s="2">
        <f t="shared" si="8"/>
        <v>290.23871219898462</v>
      </c>
      <c r="S72" s="2">
        <f t="shared" si="9"/>
        <v>2420590859739.5317</v>
      </c>
      <c r="U72">
        <v>0.64</v>
      </c>
      <c r="V72" s="2">
        <f t="shared" si="10"/>
        <v>117.96317533111467</v>
      </c>
      <c r="W72" s="2">
        <f t="shared" si="11"/>
        <v>983812882261.49634</v>
      </c>
    </row>
    <row r="73" spans="1:23" x14ac:dyDescent="0.25">
      <c r="A73">
        <v>0.65</v>
      </c>
      <c r="B73" s="2">
        <f t="shared" ref="B73:B108" si="12">$B$1*(1-A73)*EXP(-$B$2/8.314/B$6)</f>
        <v>7.5081450170623332E-3</v>
      </c>
      <c r="C73" s="2">
        <f t="shared" ref="C73:C108" si="13">B73*$B$3*$B$4</f>
        <v>62617929.442299858</v>
      </c>
      <c r="E73">
        <v>0.65</v>
      </c>
      <c r="F73" s="2">
        <f t="shared" ref="F73:F108" si="14">$B$1*(1-E73)*EXP(-$B$2/8.314/F$6)</f>
        <v>113.35867940613187</v>
      </c>
      <c r="G73" s="2">
        <f t="shared" ref="G73:G108" si="15">F73*$B$3*$B$4</f>
        <v>945411386247.13989</v>
      </c>
      <c r="I73">
        <v>0.65</v>
      </c>
      <c r="J73" s="2">
        <f t="shared" ref="J73:J108" si="16">$B$1*(1-I73)*EXP(-$B$2/8.314/J$6)</f>
        <v>113.35867940613187</v>
      </c>
      <c r="K73" s="2">
        <f t="shared" ref="K73:K108" si="17">J73*$B$3*$B$4</f>
        <v>945411386247.13989</v>
      </c>
      <c r="M73">
        <v>0.65</v>
      </c>
      <c r="N73" s="2">
        <f t="shared" ref="N73:N108" si="18">$N$1*(1-M73)*EXP(-$N$2/8.314/N$6)</f>
        <v>1.6930888399786175</v>
      </c>
      <c r="O73" s="2">
        <f t="shared" ref="O73:O108" si="19">N73*$N$3*$N$4</f>
        <v>14120360925.421671</v>
      </c>
      <c r="Q73">
        <v>0.65</v>
      </c>
      <c r="R73" s="2">
        <f t="shared" ref="R73:R108" si="20">$N$1*(1-Q73)*EXP(-$N$2/8.314/R$6)</f>
        <v>282.1765257490128</v>
      </c>
      <c r="S73" s="2">
        <f t="shared" ref="S73:S108" si="21">R73*$N$3*$N$4</f>
        <v>2353352224746.7666</v>
      </c>
      <c r="U73">
        <v>0.65</v>
      </c>
      <c r="V73" s="2">
        <f t="shared" ref="V73:V108" si="22">$N$1*(1-U73)*EXP(-$N$2/8.314/V$6)</f>
        <v>114.68642046080593</v>
      </c>
      <c r="W73" s="2">
        <f t="shared" ref="W73:W108" si="23">V73*$N$3*$N$4</f>
        <v>956484746643.12158</v>
      </c>
    </row>
    <row r="74" spans="1:23" x14ac:dyDescent="0.25">
      <c r="A74">
        <v>0.66</v>
      </c>
      <c r="B74" s="2">
        <f t="shared" si="12"/>
        <v>7.2936265880034091E-3</v>
      </c>
      <c r="C74" s="2">
        <f t="shared" si="13"/>
        <v>60828845.74394843</v>
      </c>
      <c r="E74">
        <v>0.66</v>
      </c>
      <c r="F74" s="2">
        <f t="shared" si="14"/>
        <v>110.11985999452808</v>
      </c>
      <c r="G74" s="2">
        <f t="shared" si="15"/>
        <v>918399632354.36426</v>
      </c>
      <c r="I74">
        <v>0.66</v>
      </c>
      <c r="J74" s="2">
        <f t="shared" si="16"/>
        <v>110.11985999452808</v>
      </c>
      <c r="K74" s="2">
        <f t="shared" si="17"/>
        <v>918399632354.36426</v>
      </c>
      <c r="M74">
        <v>0.66</v>
      </c>
      <c r="N74" s="2">
        <f t="shared" si="18"/>
        <v>1.6447148731220853</v>
      </c>
      <c r="O74" s="2">
        <f t="shared" si="19"/>
        <v>13716922041.83819</v>
      </c>
      <c r="Q74">
        <v>0.66</v>
      </c>
      <c r="R74" s="2">
        <f t="shared" si="20"/>
        <v>274.11433929904098</v>
      </c>
      <c r="S74" s="2">
        <f t="shared" si="21"/>
        <v>2286113589754.002</v>
      </c>
      <c r="U74">
        <v>0.66</v>
      </c>
      <c r="V74" s="2">
        <f t="shared" si="22"/>
        <v>111.40966559049717</v>
      </c>
      <c r="W74" s="2">
        <f t="shared" si="23"/>
        <v>929156611024.74634</v>
      </c>
    </row>
    <row r="75" spans="1:23" x14ac:dyDescent="0.25">
      <c r="A75">
        <v>0.67</v>
      </c>
      <c r="B75" s="2">
        <f t="shared" si="12"/>
        <v>7.0791081589444849E-3</v>
      </c>
      <c r="C75" s="2">
        <f t="shared" si="13"/>
        <v>59039762.045597002</v>
      </c>
      <c r="E75">
        <v>0.67</v>
      </c>
      <c r="F75" s="2">
        <f t="shared" si="14"/>
        <v>106.88104058292431</v>
      </c>
      <c r="G75" s="2">
        <f t="shared" si="15"/>
        <v>891387878461.58875</v>
      </c>
      <c r="I75">
        <v>0.67</v>
      </c>
      <c r="J75" s="2">
        <f t="shared" si="16"/>
        <v>106.88104058292431</v>
      </c>
      <c r="K75" s="2">
        <f t="shared" si="17"/>
        <v>891387878461.58875</v>
      </c>
      <c r="M75">
        <v>0.67</v>
      </c>
      <c r="N75" s="2">
        <f t="shared" si="18"/>
        <v>1.5963409062655534</v>
      </c>
      <c r="O75" s="2">
        <f t="shared" si="19"/>
        <v>13313483158.254713</v>
      </c>
      <c r="Q75">
        <v>0.67</v>
      </c>
      <c r="R75" s="2">
        <f t="shared" si="20"/>
        <v>266.05215284906916</v>
      </c>
      <c r="S75" s="2">
        <f t="shared" si="21"/>
        <v>2218874954761.2368</v>
      </c>
      <c r="U75">
        <v>0.67</v>
      </c>
      <c r="V75" s="2">
        <f t="shared" si="22"/>
        <v>108.13291072018842</v>
      </c>
      <c r="W75" s="2">
        <f t="shared" si="23"/>
        <v>901828475406.37134</v>
      </c>
    </row>
    <row r="76" spans="1:23" x14ac:dyDescent="0.25">
      <c r="A76">
        <v>0.68</v>
      </c>
      <c r="B76" s="2">
        <f t="shared" si="12"/>
        <v>6.8645897298855608E-3</v>
      </c>
      <c r="C76" s="2">
        <f t="shared" si="13"/>
        <v>57250678.347245574</v>
      </c>
      <c r="E76">
        <v>0.68</v>
      </c>
      <c r="F76" s="2">
        <f t="shared" si="14"/>
        <v>103.64222117132054</v>
      </c>
      <c r="G76" s="2">
        <f t="shared" si="15"/>
        <v>864376124568.81323</v>
      </c>
      <c r="I76">
        <v>0.68</v>
      </c>
      <c r="J76" s="2">
        <f t="shared" si="16"/>
        <v>103.64222117132054</v>
      </c>
      <c r="K76" s="2">
        <f t="shared" si="17"/>
        <v>864376124568.81323</v>
      </c>
      <c r="M76">
        <v>0.68</v>
      </c>
      <c r="N76" s="2">
        <f t="shared" si="18"/>
        <v>1.5479669394090214</v>
      </c>
      <c r="O76" s="2">
        <f t="shared" si="19"/>
        <v>12910044274.67124</v>
      </c>
      <c r="Q76">
        <v>0.68</v>
      </c>
      <c r="R76" s="2">
        <f t="shared" si="20"/>
        <v>257.9899663990974</v>
      </c>
      <c r="S76" s="2">
        <f t="shared" si="21"/>
        <v>2151636319768.4724</v>
      </c>
      <c r="U76">
        <v>0.68</v>
      </c>
      <c r="V76" s="2">
        <f t="shared" si="22"/>
        <v>104.85615584987968</v>
      </c>
      <c r="W76" s="2">
        <f t="shared" si="23"/>
        <v>874500339787.99658</v>
      </c>
    </row>
    <row r="77" spans="1:23" x14ac:dyDescent="0.25">
      <c r="A77">
        <v>0.69</v>
      </c>
      <c r="B77" s="2">
        <f t="shared" si="12"/>
        <v>6.6500713008266392E-3</v>
      </c>
      <c r="C77" s="2">
        <f t="shared" si="13"/>
        <v>55461594.648894168</v>
      </c>
      <c r="E77">
        <v>0.69</v>
      </c>
      <c r="F77" s="2">
        <f t="shared" si="14"/>
        <v>100.40340175971681</v>
      </c>
      <c r="G77" s="2">
        <f t="shared" si="15"/>
        <v>837364370676.03809</v>
      </c>
      <c r="I77">
        <v>0.69</v>
      </c>
      <c r="J77" s="2">
        <f t="shared" si="16"/>
        <v>100.40340175971681</v>
      </c>
      <c r="K77" s="2">
        <f t="shared" si="17"/>
        <v>837364370676.03809</v>
      </c>
      <c r="M77">
        <v>0.69</v>
      </c>
      <c r="N77" s="2">
        <f t="shared" si="18"/>
        <v>1.4995929725524901</v>
      </c>
      <c r="O77" s="2">
        <f t="shared" si="19"/>
        <v>12506605391.087767</v>
      </c>
      <c r="Q77">
        <v>0.69</v>
      </c>
      <c r="R77" s="2">
        <f t="shared" si="20"/>
        <v>249.92777994912569</v>
      </c>
      <c r="S77" s="2">
        <f t="shared" si="21"/>
        <v>2084397684775.7085</v>
      </c>
      <c r="U77">
        <v>0.69</v>
      </c>
      <c r="V77" s="2">
        <f t="shared" si="22"/>
        <v>101.57940097957098</v>
      </c>
      <c r="W77" s="2">
        <f t="shared" si="23"/>
        <v>847172204169.62183</v>
      </c>
    </row>
    <row r="78" spans="1:23" x14ac:dyDescent="0.25">
      <c r="A78">
        <v>0.7</v>
      </c>
      <c r="B78" s="2">
        <f t="shared" si="12"/>
        <v>6.4355528717677159E-3</v>
      </c>
      <c r="C78" s="2">
        <f t="shared" si="13"/>
        <v>53672510.950542755</v>
      </c>
      <c r="E78">
        <v>0.7</v>
      </c>
      <c r="F78" s="2">
        <f t="shared" si="14"/>
        <v>97.164582348113044</v>
      </c>
      <c r="G78" s="2">
        <f t="shared" si="15"/>
        <v>810352616783.26282</v>
      </c>
      <c r="I78">
        <v>0.7</v>
      </c>
      <c r="J78" s="2">
        <f t="shared" si="16"/>
        <v>97.164582348113044</v>
      </c>
      <c r="K78" s="2">
        <f t="shared" si="17"/>
        <v>810352616783.26282</v>
      </c>
      <c r="M78">
        <v>0.7</v>
      </c>
      <c r="N78" s="2">
        <f t="shared" si="18"/>
        <v>1.4512190056959582</v>
      </c>
      <c r="O78" s="2">
        <f t="shared" si="19"/>
        <v>12103166507.504292</v>
      </c>
      <c r="Q78">
        <v>0.7</v>
      </c>
      <c r="R78" s="2">
        <f t="shared" si="20"/>
        <v>241.86559349915387</v>
      </c>
      <c r="S78" s="2">
        <f t="shared" si="21"/>
        <v>2017159049782.9436</v>
      </c>
      <c r="U78">
        <v>0.7</v>
      </c>
      <c r="V78" s="2">
        <f t="shared" si="22"/>
        <v>98.302646109262241</v>
      </c>
      <c r="W78" s="2">
        <f t="shared" si="23"/>
        <v>819844068551.24707</v>
      </c>
    </row>
    <row r="79" spans="1:23" x14ac:dyDescent="0.25">
      <c r="A79">
        <v>0.71</v>
      </c>
      <c r="B79" s="2">
        <f t="shared" si="12"/>
        <v>6.2210344427087918E-3</v>
      </c>
      <c r="C79" s="2">
        <f t="shared" si="13"/>
        <v>51883427.252191328</v>
      </c>
      <c r="E79">
        <v>0.71</v>
      </c>
      <c r="F79" s="2">
        <f t="shared" si="14"/>
        <v>93.925762936509273</v>
      </c>
      <c r="G79" s="2">
        <f t="shared" si="15"/>
        <v>783340862890.48743</v>
      </c>
      <c r="I79">
        <v>0.71</v>
      </c>
      <c r="J79" s="2">
        <f t="shared" si="16"/>
        <v>93.925762936509273</v>
      </c>
      <c r="K79" s="2">
        <f t="shared" si="17"/>
        <v>783340862890.48743</v>
      </c>
      <c r="M79">
        <v>0.71</v>
      </c>
      <c r="N79" s="2">
        <f t="shared" si="18"/>
        <v>1.4028450388394262</v>
      </c>
      <c r="O79" s="2">
        <f t="shared" si="19"/>
        <v>11699727623.920815</v>
      </c>
      <c r="Q79">
        <v>0.71</v>
      </c>
      <c r="R79" s="2">
        <f t="shared" si="20"/>
        <v>233.80340704918208</v>
      </c>
      <c r="S79" s="2">
        <f t="shared" si="21"/>
        <v>1949920414790.1785</v>
      </c>
      <c r="U79">
        <v>0.71</v>
      </c>
      <c r="V79" s="2">
        <f t="shared" si="22"/>
        <v>95.025891238953506</v>
      </c>
      <c r="W79" s="2">
        <f t="shared" si="23"/>
        <v>792515932932.87219</v>
      </c>
    </row>
    <row r="80" spans="1:23" x14ac:dyDescent="0.25">
      <c r="A80">
        <v>0.72</v>
      </c>
      <c r="B80" s="2">
        <f t="shared" si="12"/>
        <v>6.0065160136498676E-3</v>
      </c>
      <c r="C80" s="2">
        <f t="shared" si="13"/>
        <v>50094343.5538399</v>
      </c>
      <c r="E80">
        <v>0.72</v>
      </c>
      <c r="F80" s="2">
        <f t="shared" si="14"/>
        <v>90.686943524905502</v>
      </c>
      <c r="G80" s="2">
        <f t="shared" si="15"/>
        <v>756329108997.71191</v>
      </c>
      <c r="I80">
        <v>0.72</v>
      </c>
      <c r="J80" s="2">
        <f t="shared" si="16"/>
        <v>90.686943524905502</v>
      </c>
      <c r="K80" s="2">
        <f t="shared" si="17"/>
        <v>756329108997.71191</v>
      </c>
      <c r="M80">
        <v>0.72</v>
      </c>
      <c r="N80" s="2">
        <f t="shared" si="18"/>
        <v>1.3544710719828941</v>
      </c>
      <c r="O80" s="2">
        <f t="shared" si="19"/>
        <v>11296288740.337337</v>
      </c>
      <c r="Q80">
        <v>0.72</v>
      </c>
      <c r="R80" s="2">
        <f t="shared" si="20"/>
        <v>225.74122059921024</v>
      </c>
      <c r="S80" s="2">
        <f t="shared" si="21"/>
        <v>1882681779797.4133</v>
      </c>
      <c r="U80">
        <v>0.72</v>
      </c>
      <c r="V80" s="2">
        <f t="shared" si="22"/>
        <v>91.749136368644741</v>
      </c>
      <c r="W80" s="2">
        <f t="shared" si="23"/>
        <v>765187797314.49719</v>
      </c>
    </row>
    <row r="81" spans="1:23" x14ac:dyDescent="0.25">
      <c r="A81">
        <v>0.73</v>
      </c>
      <c r="B81" s="2">
        <f t="shared" si="12"/>
        <v>5.7919975845909435E-3</v>
      </c>
      <c r="C81" s="2">
        <f t="shared" si="13"/>
        <v>48305259.855488464</v>
      </c>
      <c r="E81">
        <v>0.73</v>
      </c>
      <c r="F81" s="2">
        <f t="shared" si="14"/>
        <v>87.448124113301716</v>
      </c>
      <c r="G81" s="2">
        <f t="shared" si="15"/>
        <v>729317355104.93628</v>
      </c>
      <c r="I81">
        <v>0.73</v>
      </c>
      <c r="J81" s="2">
        <f t="shared" si="16"/>
        <v>87.448124113301716</v>
      </c>
      <c r="K81" s="2">
        <f t="shared" si="17"/>
        <v>729317355104.93628</v>
      </c>
      <c r="M81">
        <v>0.73</v>
      </c>
      <c r="N81" s="2">
        <f t="shared" si="18"/>
        <v>1.3060971051263621</v>
      </c>
      <c r="O81" s="2">
        <f t="shared" si="19"/>
        <v>10892849856.75386</v>
      </c>
      <c r="Q81">
        <v>0.73</v>
      </c>
      <c r="R81" s="2">
        <f t="shared" si="20"/>
        <v>217.67903414923845</v>
      </c>
      <c r="S81" s="2">
        <f t="shared" si="21"/>
        <v>1815443144804.6487</v>
      </c>
      <c r="U81">
        <v>0.73</v>
      </c>
      <c r="V81" s="2">
        <f t="shared" si="22"/>
        <v>88.472381498336006</v>
      </c>
      <c r="W81" s="2">
        <f t="shared" si="23"/>
        <v>737859661696.12231</v>
      </c>
    </row>
    <row r="82" spans="1:23" x14ac:dyDescent="0.25">
      <c r="A82">
        <v>0.74</v>
      </c>
      <c r="B82" s="2">
        <f t="shared" si="12"/>
        <v>5.5774791555320193E-3</v>
      </c>
      <c r="C82" s="2">
        <f t="shared" si="13"/>
        <v>46516176.157137036</v>
      </c>
      <c r="E82">
        <v>0.74</v>
      </c>
      <c r="F82" s="2">
        <f t="shared" si="14"/>
        <v>84.20930470169796</v>
      </c>
      <c r="G82" s="2">
        <f t="shared" si="15"/>
        <v>702305601212.16089</v>
      </c>
      <c r="I82">
        <v>0.74</v>
      </c>
      <c r="J82" s="2">
        <f t="shared" si="16"/>
        <v>84.20930470169796</v>
      </c>
      <c r="K82" s="2">
        <f t="shared" si="17"/>
        <v>702305601212.16089</v>
      </c>
      <c r="M82">
        <v>0.74</v>
      </c>
      <c r="N82" s="2">
        <f t="shared" si="18"/>
        <v>1.2577231382698302</v>
      </c>
      <c r="O82" s="2">
        <f t="shared" si="19"/>
        <v>10489410973.170383</v>
      </c>
      <c r="Q82">
        <v>0.74</v>
      </c>
      <c r="R82" s="2">
        <f t="shared" si="20"/>
        <v>209.61684769926666</v>
      </c>
      <c r="S82" s="2">
        <f t="shared" si="21"/>
        <v>1748204509811.884</v>
      </c>
      <c r="U82">
        <v>0.74</v>
      </c>
      <c r="V82" s="2">
        <f t="shared" si="22"/>
        <v>85.195626628027256</v>
      </c>
      <c r="W82" s="2">
        <f t="shared" si="23"/>
        <v>710531526077.74731</v>
      </c>
    </row>
    <row r="83" spans="1:23" x14ac:dyDescent="0.25">
      <c r="A83">
        <v>0.75</v>
      </c>
      <c r="B83" s="2">
        <f t="shared" si="12"/>
        <v>5.3629607264730952E-3</v>
      </c>
      <c r="C83" s="2">
        <f t="shared" si="13"/>
        <v>44727092.458785608</v>
      </c>
      <c r="E83">
        <v>0.75</v>
      </c>
      <c r="F83" s="2">
        <f t="shared" si="14"/>
        <v>80.970485290094189</v>
      </c>
      <c r="G83" s="2">
        <f t="shared" si="15"/>
        <v>675293847319.3855</v>
      </c>
      <c r="I83">
        <v>0.75</v>
      </c>
      <c r="J83" s="2">
        <f t="shared" si="16"/>
        <v>80.970485290094189</v>
      </c>
      <c r="K83" s="2">
        <f t="shared" si="17"/>
        <v>675293847319.3855</v>
      </c>
      <c r="M83">
        <v>0.75</v>
      </c>
      <c r="N83" s="2">
        <f t="shared" si="18"/>
        <v>1.2093491714132982</v>
      </c>
      <c r="O83" s="2">
        <f t="shared" si="19"/>
        <v>10085972089.586906</v>
      </c>
      <c r="Q83">
        <v>0.75</v>
      </c>
      <c r="R83" s="2">
        <f t="shared" si="20"/>
        <v>201.55466124929487</v>
      </c>
      <c r="S83" s="2">
        <f t="shared" si="21"/>
        <v>1680965874819.1191</v>
      </c>
      <c r="U83">
        <v>0.75</v>
      </c>
      <c r="V83" s="2">
        <f t="shared" si="22"/>
        <v>81.91887175771852</v>
      </c>
      <c r="W83" s="2">
        <f t="shared" si="23"/>
        <v>683203390459.37244</v>
      </c>
    </row>
    <row r="84" spans="1:23" x14ac:dyDescent="0.25">
      <c r="A84">
        <v>0.76</v>
      </c>
      <c r="B84" s="2">
        <f t="shared" si="12"/>
        <v>5.1484422974141719E-3</v>
      </c>
      <c r="C84" s="2">
        <f t="shared" si="13"/>
        <v>42938008.760434195</v>
      </c>
      <c r="E84">
        <v>0.76</v>
      </c>
      <c r="F84" s="2">
        <f t="shared" si="14"/>
        <v>77.731665878490418</v>
      </c>
      <c r="G84" s="2">
        <f t="shared" si="15"/>
        <v>648282093426.61011</v>
      </c>
      <c r="I84">
        <v>0.76</v>
      </c>
      <c r="J84" s="2">
        <f t="shared" si="16"/>
        <v>77.731665878490418</v>
      </c>
      <c r="K84" s="2">
        <f t="shared" si="17"/>
        <v>648282093426.61011</v>
      </c>
      <c r="M84">
        <v>0.76</v>
      </c>
      <c r="N84" s="2">
        <f t="shared" si="18"/>
        <v>1.1609752045567663</v>
      </c>
      <c r="O84" s="2">
        <f t="shared" si="19"/>
        <v>9682533206.0034313</v>
      </c>
      <c r="Q84">
        <v>0.76</v>
      </c>
      <c r="R84" s="2">
        <f t="shared" si="20"/>
        <v>193.49247479932308</v>
      </c>
      <c r="S84" s="2">
        <f t="shared" si="21"/>
        <v>1613727239826.3545</v>
      </c>
      <c r="U84">
        <v>0.76</v>
      </c>
      <c r="V84" s="2">
        <f t="shared" si="22"/>
        <v>78.642116887409784</v>
      </c>
      <c r="W84" s="2">
        <f t="shared" si="23"/>
        <v>655875254840.99756</v>
      </c>
    </row>
    <row r="85" spans="1:23" x14ac:dyDescent="0.25">
      <c r="A85">
        <v>0.77</v>
      </c>
      <c r="B85" s="2">
        <f t="shared" si="12"/>
        <v>4.9339238683552477E-3</v>
      </c>
      <c r="C85" s="2">
        <f t="shared" si="13"/>
        <v>41148925.062082767</v>
      </c>
      <c r="E85">
        <v>0.77</v>
      </c>
      <c r="F85" s="2">
        <f t="shared" si="14"/>
        <v>74.492846466886647</v>
      </c>
      <c r="G85" s="2">
        <f t="shared" si="15"/>
        <v>621270339533.83459</v>
      </c>
      <c r="I85">
        <v>0.77</v>
      </c>
      <c r="J85" s="2">
        <f t="shared" si="16"/>
        <v>74.492846466886647</v>
      </c>
      <c r="K85" s="2">
        <f t="shared" si="17"/>
        <v>621270339533.83459</v>
      </c>
      <c r="M85">
        <v>0.77</v>
      </c>
      <c r="N85" s="2">
        <f t="shared" si="18"/>
        <v>1.1126012377002343</v>
      </c>
      <c r="O85" s="2">
        <f t="shared" si="19"/>
        <v>9279094322.4199543</v>
      </c>
      <c r="Q85">
        <v>0.77</v>
      </c>
      <c r="R85" s="2">
        <f t="shared" si="20"/>
        <v>185.43028834935126</v>
      </c>
      <c r="S85" s="2">
        <f t="shared" si="21"/>
        <v>1546488604833.5896</v>
      </c>
      <c r="U85">
        <v>0.77</v>
      </c>
      <c r="V85" s="2">
        <f t="shared" si="22"/>
        <v>75.365362017101035</v>
      </c>
      <c r="W85" s="2">
        <f t="shared" si="23"/>
        <v>628547119222.62268</v>
      </c>
    </row>
    <row r="86" spans="1:23" x14ac:dyDescent="0.25">
      <c r="A86">
        <v>0.78</v>
      </c>
      <c r="B86" s="2">
        <f t="shared" si="12"/>
        <v>4.7194054392963227E-3</v>
      </c>
      <c r="C86" s="2">
        <f t="shared" si="13"/>
        <v>39359841.363731332</v>
      </c>
      <c r="E86">
        <v>0.78</v>
      </c>
      <c r="F86" s="2">
        <f t="shared" si="14"/>
        <v>71.254027055282876</v>
      </c>
      <c r="G86" s="2">
        <f t="shared" si="15"/>
        <v>594258585641.0592</v>
      </c>
      <c r="I86">
        <v>0.78</v>
      </c>
      <c r="J86" s="2">
        <f t="shared" si="16"/>
        <v>71.254027055282876</v>
      </c>
      <c r="K86" s="2">
        <f t="shared" si="17"/>
        <v>594258585641.0592</v>
      </c>
      <c r="M86">
        <v>0.78</v>
      </c>
      <c r="N86" s="2">
        <f t="shared" si="18"/>
        <v>1.0642272708437024</v>
      </c>
      <c r="O86" s="2">
        <f t="shared" si="19"/>
        <v>8875655438.8364773</v>
      </c>
      <c r="Q86">
        <v>0.78</v>
      </c>
      <c r="R86" s="2">
        <f t="shared" si="20"/>
        <v>177.36810189937947</v>
      </c>
      <c r="S86" s="2">
        <f t="shared" si="21"/>
        <v>1479249969840.8247</v>
      </c>
      <c r="U86">
        <v>0.78</v>
      </c>
      <c r="V86" s="2">
        <f t="shared" si="22"/>
        <v>72.088607146792285</v>
      </c>
      <c r="W86" s="2">
        <f t="shared" si="23"/>
        <v>601218983604.24768</v>
      </c>
    </row>
    <row r="87" spans="1:23" x14ac:dyDescent="0.25">
      <c r="A87">
        <v>0.79</v>
      </c>
      <c r="B87" s="2">
        <f t="shared" si="12"/>
        <v>4.5048870102373994E-3</v>
      </c>
      <c r="C87" s="2">
        <f t="shared" si="13"/>
        <v>37570757.665379912</v>
      </c>
      <c r="E87">
        <v>0.79</v>
      </c>
      <c r="F87" s="2">
        <f t="shared" si="14"/>
        <v>68.015207643679105</v>
      </c>
      <c r="G87" s="2">
        <f t="shared" si="15"/>
        <v>567246831748.28369</v>
      </c>
      <c r="I87">
        <v>0.79</v>
      </c>
      <c r="J87" s="2">
        <f t="shared" si="16"/>
        <v>68.015207643679105</v>
      </c>
      <c r="K87" s="2">
        <f t="shared" si="17"/>
        <v>567246831748.28369</v>
      </c>
      <c r="M87">
        <v>0.79</v>
      </c>
      <c r="N87" s="2">
        <f t="shared" si="18"/>
        <v>1.0158533039871704</v>
      </c>
      <c r="O87" s="2">
        <f t="shared" si="19"/>
        <v>8472216555.2530012</v>
      </c>
      <c r="Q87">
        <v>0.79</v>
      </c>
      <c r="R87" s="2">
        <f t="shared" si="20"/>
        <v>169.30591544940765</v>
      </c>
      <c r="S87" s="2">
        <f t="shared" si="21"/>
        <v>1412011334848.0598</v>
      </c>
      <c r="U87">
        <v>0.79</v>
      </c>
      <c r="V87" s="2">
        <f t="shared" si="22"/>
        <v>68.811852276483549</v>
      </c>
      <c r="W87" s="2">
        <f t="shared" si="23"/>
        <v>573890847985.8728</v>
      </c>
    </row>
    <row r="88" spans="1:23" x14ac:dyDescent="0.25">
      <c r="A88">
        <v>0.8</v>
      </c>
      <c r="B88" s="2">
        <f t="shared" si="12"/>
        <v>4.2903685811784753E-3</v>
      </c>
      <c r="C88" s="2">
        <f t="shared" si="13"/>
        <v>35781673.967028484</v>
      </c>
      <c r="E88">
        <v>0.8</v>
      </c>
      <c r="F88" s="2">
        <f t="shared" si="14"/>
        <v>64.776388232075334</v>
      </c>
      <c r="G88" s="2">
        <f t="shared" si="15"/>
        <v>540235077855.50824</v>
      </c>
      <c r="I88">
        <v>0.8</v>
      </c>
      <c r="J88" s="2">
        <f t="shared" si="16"/>
        <v>64.776388232075334</v>
      </c>
      <c r="K88" s="2">
        <f t="shared" si="17"/>
        <v>540235077855.50824</v>
      </c>
      <c r="M88">
        <v>0.8</v>
      </c>
      <c r="N88" s="2">
        <f t="shared" si="18"/>
        <v>0.96747933713063849</v>
      </c>
      <c r="O88" s="2">
        <f t="shared" si="19"/>
        <v>8068777671.6695251</v>
      </c>
      <c r="Q88">
        <v>0.8</v>
      </c>
      <c r="R88" s="2">
        <f t="shared" si="20"/>
        <v>161.24372899943586</v>
      </c>
      <c r="S88" s="2">
        <f t="shared" si="21"/>
        <v>1344772699855.2952</v>
      </c>
      <c r="U88">
        <v>0.8</v>
      </c>
      <c r="V88" s="2">
        <f t="shared" si="22"/>
        <v>65.535097406174799</v>
      </c>
      <c r="W88" s="2">
        <f t="shared" si="23"/>
        <v>546562712367.4978</v>
      </c>
    </row>
    <row r="89" spans="1:23" x14ac:dyDescent="0.25">
      <c r="A89">
        <v>0.81</v>
      </c>
      <c r="B89" s="2">
        <f t="shared" si="12"/>
        <v>4.0758501521195511E-3</v>
      </c>
      <c r="C89" s="2">
        <f t="shared" si="13"/>
        <v>33992590.268677056</v>
      </c>
      <c r="E89">
        <v>0.81</v>
      </c>
      <c r="F89" s="2">
        <f t="shared" si="14"/>
        <v>61.53756882047157</v>
      </c>
      <c r="G89" s="2">
        <f t="shared" si="15"/>
        <v>513223323962.73291</v>
      </c>
      <c r="I89">
        <v>0.81</v>
      </c>
      <c r="J89" s="2">
        <f t="shared" si="16"/>
        <v>61.53756882047157</v>
      </c>
      <c r="K89" s="2">
        <f t="shared" si="17"/>
        <v>513223323962.73291</v>
      </c>
      <c r="M89">
        <v>0.81</v>
      </c>
      <c r="N89" s="2">
        <f t="shared" si="18"/>
        <v>0.91910537027410644</v>
      </c>
      <c r="O89" s="2">
        <f t="shared" si="19"/>
        <v>7665338788.0860472</v>
      </c>
      <c r="Q89">
        <v>0.81</v>
      </c>
      <c r="R89" s="2">
        <f t="shared" si="20"/>
        <v>153.18154254946404</v>
      </c>
      <c r="S89" s="2">
        <f t="shared" si="21"/>
        <v>1277534064862.53</v>
      </c>
      <c r="U89">
        <v>0.81</v>
      </c>
      <c r="V89" s="2">
        <f t="shared" si="22"/>
        <v>62.258342535866056</v>
      </c>
      <c r="W89" s="2">
        <f t="shared" si="23"/>
        <v>519234576749.12292</v>
      </c>
    </row>
    <row r="90" spans="1:23" x14ac:dyDescent="0.25">
      <c r="A90">
        <v>0.82</v>
      </c>
      <c r="B90" s="2">
        <f t="shared" si="12"/>
        <v>3.8613317230606296E-3</v>
      </c>
      <c r="C90" s="2">
        <f t="shared" si="13"/>
        <v>32203506.570325654</v>
      </c>
      <c r="E90">
        <v>0.82</v>
      </c>
      <c r="F90" s="2">
        <f t="shared" si="14"/>
        <v>58.298749408867828</v>
      </c>
      <c r="G90" s="2">
        <f t="shared" si="15"/>
        <v>486211570069.9577</v>
      </c>
      <c r="I90">
        <v>0.82</v>
      </c>
      <c r="J90" s="2">
        <f t="shared" si="16"/>
        <v>58.298749408867828</v>
      </c>
      <c r="K90" s="2">
        <f t="shared" si="17"/>
        <v>486211570069.9577</v>
      </c>
      <c r="M90">
        <v>0.82</v>
      </c>
      <c r="N90" s="2">
        <f t="shared" si="18"/>
        <v>0.87073140341757505</v>
      </c>
      <c r="O90" s="2">
        <f t="shared" si="19"/>
        <v>7261899904.5025759</v>
      </c>
      <c r="Q90">
        <v>0.82</v>
      </c>
      <c r="R90" s="2">
        <f t="shared" si="20"/>
        <v>145.11935609949236</v>
      </c>
      <c r="S90" s="2">
        <f t="shared" si="21"/>
        <v>1210295429869.7661</v>
      </c>
      <c r="U90">
        <v>0.82</v>
      </c>
      <c r="V90" s="2">
        <f t="shared" si="22"/>
        <v>58.981587665557356</v>
      </c>
      <c r="W90" s="2">
        <f t="shared" si="23"/>
        <v>491906441130.74835</v>
      </c>
    </row>
    <row r="91" spans="1:23" x14ac:dyDescent="0.25">
      <c r="A91">
        <v>0.83</v>
      </c>
      <c r="B91" s="2">
        <f t="shared" si="12"/>
        <v>3.6468132940017058E-3</v>
      </c>
      <c r="C91" s="2">
        <f t="shared" si="13"/>
        <v>30414422.871974226</v>
      </c>
      <c r="E91">
        <v>0.83</v>
      </c>
      <c r="F91" s="2">
        <f t="shared" si="14"/>
        <v>55.059929997264064</v>
      </c>
      <c r="G91" s="2">
        <f t="shared" si="15"/>
        <v>459199816177.18231</v>
      </c>
      <c r="I91">
        <v>0.83</v>
      </c>
      <c r="J91" s="2">
        <f t="shared" si="16"/>
        <v>55.059929997264064</v>
      </c>
      <c r="K91" s="2">
        <f t="shared" si="17"/>
        <v>459199816177.18231</v>
      </c>
      <c r="M91">
        <v>0.83</v>
      </c>
      <c r="N91" s="2">
        <f t="shared" si="18"/>
        <v>0.82235743656104299</v>
      </c>
      <c r="O91" s="2">
        <f t="shared" si="19"/>
        <v>6858461020.9190979</v>
      </c>
      <c r="Q91">
        <v>0.83</v>
      </c>
      <c r="R91" s="2">
        <f t="shared" si="20"/>
        <v>137.05716964952055</v>
      </c>
      <c r="S91" s="2">
        <f t="shared" si="21"/>
        <v>1143056794877.0012</v>
      </c>
      <c r="U91">
        <v>0.83</v>
      </c>
      <c r="V91" s="2">
        <f t="shared" si="22"/>
        <v>55.704832795248606</v>
      </c>
      <c r="W91" s="2">
        <f t="shared" si="23"/>
        <v>464578305512.37335</v>
      </c>
    </row>
    <row r="92" spans="1:23" x14ac:dyDescent="0.25">
      <c r="A92">
        <v>0.84</v>
      </c>
      <c r="B92" s="2">
        <f t="shared" si="12"/>
        <v>3.4322948649427817E-3</v>
      </c>
      <c r="C92" s="2">
        <f t="shared" si="13"/>
        <v>28625339.173622798</v>
      </c>
      <c r="E92">
        <v>0.84</v>
      </c>
      <c r="F92" s="2">
        <f t="shared" si="14"/>
        <v>51.821110585660286</v>
      </c>
      <c r="G92" s="2">
        <f t="shared" si="15"/>
        <v>432188062284.4068</v>
      </c>
      <c r="I92">
        <v>0.84</v>
      </c>
      <c r="J92" s="2">
        <f t="shared" si="16"/>
        <v>51.821110585660286</v>
      </c>
      <c r="K92" s="2">
        <f t="shared" si="17"/>
        <v>432188062284.4068</v>
      </c>
      <c r="M92">
        <v>0.84</v>
      </c>
      <c r="N92" s="2">
        <f t="shared" si="18"/>
        <v>0.77398346970451104</v>
      </c>
      <c r="O92" s="2">
        <f t="shared" si="19"/>
        <v>6455022137.3356228</v>
      </c>
      <c r="Q92">
        <v>0.84</v>
      </c>
      <c r="R92" s="2">
        <f t="shared" si="20"/>
        <v>128.99498319954873</v>
      </c>
      <c r="S92" s="2">
        <f t="shared" si="21"/>
        <v>1075818159884.2363</v>
      </c>
      <c r="U92">
        <v>0.84</v>
      </c>
      <c r="V92" s="2">
        <f t="shared" si="22"/>
        <v>52.428077924939863</v>
      </c>
      <c r="W92" s="2">
        <f t="shared" si="23"/>
        <v>437250169893.99847</v>
      </c>
    </row>
    <row r="93" spans="1:23" x14ac:dyDescent="0.25">
      <c r="A93">
        <v>0.85</v>
      </c>
      <c r="B93" s="2">
        <f t="shared" si="12"/>
        <v>3.217776435883858E-3</v>
      </c>
      <c r="C93" s="2">
        <f t="shared" si="13"/>
        <v>26836255.475271378</v>
      </c>
      <c r="E93">
        <v>0.85</v>
      </c>
      <c r="F93" s="2">
        <f t="shared" si="14"/>
        <v>48.582291174056522</v>
      </c>
      <c r="G93" s="2">
        <f t="shared" si="15"/>
        <v>405176308391.63141</v>
      </c>
      <c r="I93">
        <v>0.85</v>
      </c>
      <c r="J93" s="2">
        <f t="shared" si="16"/>
        <v>48.582291174056522</v>
      </c>
      <c r="K93" s="2">
        <f t="shared" si="17"/>
        <v>405176308391.63141</v>
      </c>
      <c r="M93">
        <v>0.85</v>
      </c>
      <c r="N93" s="2">
        <f t="shared" si="18"/>
        <v>0.72560950284797909</v>
      </c>
      <c r="O93" s="2">
        <f t="shared" si="19"/>
        <v>6051583253.7521458</v>
      </c>
      <c r="Q93">
        <v>0.85</v>
      </c>
      <c r="R93" s="2">
        <f t="shared" si="20"/>
        <v>120.93279674957694</v>
      </c>
      <c r="S93" s="2">
        <f t="shared" si="21"/>
        <v>1008579524891.4718</v>
      </c>
      <c r="U93">
        <v>0.85</v>
      </c>
      <c r="V93" s="2">
        <f t="shared" si="22"/>
        <v>49.151323054631121</v>
      </c>
      <c r="W93" s="2">
        <f t="shared" si="23"/>
        <v>409922034275.62354</v>
      </c>
    </row>
    <row r="94" spans="1:23" x14ac:dyDescent="0.25">
      <c r="A94">
        <v>0.86</v>
      </c>
      <c r="B94" s="2">
        <f t="shared" si="12"/>
        <v>3.0032580068249338E-3</v>
      </c>
      <c r="C94" s="2">
        <f t="shared" si="13"/>
        <v>25047171.77691995</v>
      </c>
      <c r="E94">
        <v>0.86</v>
      </c>
      <c r="F94" s="2">
        <f t="shared" si="14"/>
        <v>45.343471762452751</v>
      </c>
      <c r="G94" s="2">
        <f t="shared" si="15"/>
        <v>378164554498.85596</v>
      </c>
      <c r="I94">
        <v>0.86</v>
      </c>
      <c r="J94" s="2">
        <f t="shared" si="16"/>
        <v>45.343471762452751</v>
      </c>
      <c r="K94" s="2">
        <f t="shared" si="17"/>
        <v>378164554498.85596</v>
      </c>
      <c r="M94">
        <v>0.86</v>
      </c>
      <c r="N94" s="2">
        <f t="shared" si="18"/>
        <v>0.67723553599144704</v>
      </c>
      <c r="O94" s="2">
        <f t="shared" si="19"/>
        <v>5648144370.1686687</v>
      </c>
      <c r="Q94">
        <v>0.86</v>
      </c>
      <c r="R94" s="2">
        <f t="shared" si="20"/>
        <v>112.87061029960512</v>
      </c>
      <c r="S94" s="2">
        <f t="shared" si="21"/>
        <v>941340889898.70667</v>
      </c>
      <c r="U94">
        <v>0.86</v>
      </c>
      <c r="V94" s="2">
        <f t="shared" si="22"/>
        <v>45.874568184322371</v>
      </c>
      <c r="W94" s="2">
        <f t="shared" si="23"/>
        <v>382593898657.2486</v>
      </c>
    </row>
    <row r="95" spans="1:23" x14ac:dyDescent="0.25">
      <c r="A95">
        <v>0.87</v>
      </c>
      <c r="B95" s="2">
        <f t="shared" si="12"/>
        <v>2.7887395777660097E-3</v>
      </c>
      <c r="C95" s="2">
        <f t="shared" si="13"/>
        <v>23258088.078568518</v>
      </c>
      <c r="E95">
        <v>0.87</v>
      </c>
      <c r="F95" s="2">
        <f t="shared" si="14"/>
        <v>42.10465235084898</v>
      </c>
      <c r="G95" s="2">
        <f t="shared" si="15"/>
        <v>351152800606.08044</v>
      </c>
      <c r="I95">
        <v>0.87</v>
      </c>
      <c r="J95" s="2">
        <f t="shared" si="16"/>
        <v>42.10465235084898</v>
      </c>
      <c r="K95" s="2">
        <f t="shared" si="17"/>
        <v>351152800606.08044</v>
      </c>
      <c r="M95">
        <v>0.87</v>
      </c>
      <c r="N95" s="2">
        <f t="shared" si="18"/>
        <v>0.62886156913491509</v>
      </c>
      <c r="O95" s="2">
        <f t="shared" si="19"/>
        <v>5244705486.5851917</v>
      </c>
      <c r="Q95">
        <v>0.87</v>
      </c>
      <c r="R95" s="2">
        <f t="shared" si="20"/>
        <v>104.80842384963333</v>
      </c>
      <c r="S95" s="2">
        <f t="shared" si="21"/>
        <v>874102254905.94202</v>
      </c>
      <c r="U95">
        <v>0.87</v>
      </c>
      <c r="V95" s="2">
        <f t="shared" si="22"/>
        <v>42.597813314013628</v>
      </c>
      <c r="W95" s="2">
        <f t="shared" si="23"/>
        <v>355265763038.87366</v>
      </c>
    </row>
    <row r="96" spans="1:23" x14ac:dyDescent="0.25">
      <c r="A96">
        <v>0.88</v>
      </c>
      <c r="B96" s="2">
        <f t="shared" si="12"/>
        <v>2.5742211487070859E-3</v>
      </c>
      <c r="C96" s="2">
        <f t="shared" si="13"/>
        <v>21469004.380217098</v>
      </c>
      <c r="E96">
        <v>0.88</v>
      </c>
      <c r="F96" s="2">
        <f t="shared" si="14"/>
        <v>38.865832939245209</v>
      </c>
      <c r="G96" s="2">
        <f t="shared" si="15"/>
        <v>324141046713.30505</v>
      </c>
      <c r="I96">
        <v>0.88</v>
      </c>
      <c r="J96" s="2">
        <f t="shared" si="16"/>
        <v>38.865832939245209</v>
      </c>
      <c r="K96" s="2">
        <f t="shared" si="17"/>
        <v>324141046713.30505</v>
      </c>
      <c r="M96">
        <v>0.88</v>
      </c>
      <c r="N96" s="2">
        <f t="shared" si="18"/>
        <v>0.58048760227838314</v>
      </c>
      <c r="O96" s="2">
        <f t="shared" si="19"/>
        <v>4841266603.0017157</v>
      </c>
      <c r="Q96">
        <v>0.88</v>
      </c>
      <c r="R96" s="2">
        <f t="shared" si="20"/>
        <v>96.746237399661538</v>
      </c>
      <c r="S96" s="2">
        <f t="shared" si="21"/>
        <v>806863619913.17725</v>
      </c>
      <c r="U96">
        <v>0.88</v>
      </c>
      <c r="V96" s="2">
        <f t="shared" si="22"/>
        <v>39.321058443704892</v>
      </c>
      <c r="W96" s="2">
        <f t="shared" si="23"/>
        <v>327937627420.49878</v>
      </c>
    </row>
    <row r="97" spans="1:23" x14ac:dyDescent="0.25">
      <c r="A97">
        <v>0.89</v>
      </c>
      <c r="B97" s="2">
        <f t="shared" si="12"/>
        <v>2.3597027196481614E-3</v>
      </c>
      <c r="C97" s="2">
        <f t="shared" si="13"/>
        <v>19679920.681865666</v>
      </c>
      <c r="E97">
        <v>0.89</v>
      </c>
      <c r="F97" s="2">
        <f t="shared" si="14"/>
        <v>35.627013527641438</v>
      </c>
      <c r="G97" s="2">
        <f t="shared" si="15"/>
        <v>297129292820.5296</v>
      </c>
      <c r="I97">
        <v>0.89</v>
      </c>
      <c r="J97" s="2">
        <f t="shared" si="16"/>
        <v>35.627013527641438</v>
      </c>
      <c r="K97" s="2">
        <f t="shared" si="17"/>
        <v>297129292820.5296</v>
      </c>
      <c r="M97">
        <v>0.89</v>
      </c>
      <c r="N97" s="2">
        <f t="shared" si="18"/>
        <v>0.53211363542185119</v>
      </c>
      <c r="O97" s="2">
        <f t="shared" si="19"/>
        <v>4437827719.4182386</v>
      </c>
      <c r="Q97">
        <v>0.89</v>
      </c>
      <c r="R97" s="2">
        <f t="shared" si="20"/>
        <v>88.684050949689734</v>
      </c>
      <c r="S97" s="2">
        <f t="shared" si="21"/>
        <v>739624984920.41235</v>
      </c>
      <c r="U97">
        <v>0.89</v>
      </c>
      <c r="V97" s="2">
        <f t="shared" si="22"/>
        <v>36.044303573396142</v>
      </c>
      <c r="W97" s="2">
        <f t="shared" si="23"/>
        <v>300609491802.12384</v>
      </c>
    </row>
    <row r="98" spans="1:23" x14ac:dyDescent="0.25">
      <c r="A98">
        <v>0.9</v>
      </c>
      <c r="B98" s="2">
        <f t="shared" si="12"/>
        <v>2.1451842905892376E-3</v>
      </c>
      <c r="C98" s="2">
        <f t="shared" si="13"/>
        <v>17890836.983514242</v>
      </c>
      <c r="E98">
        <v>0.9</v>
      </c>
      <c r="F98" s="2">
        <f t="shared" si="14"/>
        <v>32.388194116037667</v>
      </c>
      <c r="G98" s="2">
        <f t="shared" si="15"/>
        <v>270117538927.75412</v>
      </c>
      <c r="I98">
        <v>0.9</v>
      </c>
      <c r="J98" s="2">
        <f t="shared" si="16"/>
        <v>32.388194116037667</v>
      </c>
      <c r="K98" s="2">
        <f t="shared" si="17"/>
        <v>270117538927.75412</v>
      </c>
      <c r="M98">
        <v>0.9</v>
      </c>
      <c r="N98" s="2">
        <f t="shared" si="18"/>
        <v>0.48373966856531925</v>
      </c>
      <c r="O98" s="2">
        <f t="shared" si="19"/>
        <v>4034388835.8347626</v>
      </c>
      <c r="Q98">
        <v>0.9</v>
      </c>
      <c r="R98" s="2">
        <f t="shared" si="20"/>
        <v>80.62186449971793</v>
      </c>
      <c r="S98" s="2">
        <f t="shared" si="21"/>
        <v>672386349927.64758</v>
      </c>
      <c r="U98">
        <v>0.9</v>
      </c>
      <c r="V98" s="2">
        <f t="shared" si="22"/>
        <v>32.7675487030874</v>
      </c>
      <c r="W98" s="2">
        <f t="shared" si="23"/>
        <v>273281356183.7489</v>
      </c>
    </row>
    <row r="99" spans="1:23" x14ac:dyDescent="0.25">
      <c r="A99">
        <v>0.91</v>
      </c>
      <c r="B99" s="2">
        <f t="shared" si="12"/>
        <v>1.9306658615303137E-3</v>
      </c>
      <c r="C99" s="2">
        <f t="shared" si="13"/>
        <v>16101753.285162816</v>
      </c>
      <c r="E99">
        <v>0.91</v>
      </c>
      <c r="F99" s="2">
        <f t="shared" si="14"/>
        <v>29.149374704433896</v>
      </c>
      <c r="G99" s="2">
        <f t="shared" si="15"/>
        <v>243105785034.9787</v>
      </c>
      <c r="I99">
        <v>0.91</v>
      </c>
      <c r="J99" s="2">
        <f t="shared" si="16"/>
        <v>29.149374704433896</v>
      </c>
      <c r="K99" s="2">
        <f t="shared" si="17"/>
        <v>243105785034.9787</v>
      </c>
      <c r="M99">
        <v>0.91</v>
      </c>
      <c r="N99" s="2">
        <f t="shared" si="18"/>
        <v>0.43536570170878724</v>
      </c>
      <c r="O99" s="2">
        <f t="shared" si="19"/>
        <v>3630949952.2512856</v>
      </c>
      <c r="Q99">
        <v>0.91</v>
      </c>
      <c r="R99" s="2">
        <f t="shared" si="20"/>
        <v>72.559678049746125</v>
      </c>
      <c r="S99" s="2">
        <f t="shared" si="21"/>
        <v>605147714934.88269</v>
      </c>
      <c r="U99">
        <v>0.91</v>
      </c>
      <c r="V99" s="2">
        <f t="shared" si="22"/>
        <v>29.490793832778657</v>
      </c>
      <c r="W99" s="2">
        <f t="shared" si="23"/>
        <v>245953220565.37399</v>
      </c>
    </row>
    <row r="100" spans="1:23" x14ac:dyDescent="0.25">
      <c r="A100">
        <v>0.92</v>
      </c>
      <c r="B100" s="2">
        <f t="shared" si="12"/>
        <v>1.7161474324713898E-3</v>
      </c>
      <c r="C100" s="2">
        <f t="shared" si="13"/>
        <v>14312669.586811392</v>
      </c>
      <c r="E100">
        <v>0.92</v>
      </c>
      <c r="F100" s="2">
        <f t="shared" si="14"/>
        <v>25.910555292830129</v>
      </c>
      <c r="G100" s="2">
        <f t="shared" si="15"/>
        <v>216094031142.20328</v>
      </c>
      <c r="I100">
        <v>0.92</v>
      </c>
      <c r="J100" s="2">
        <f t="shared" si="16"/>
        <v>25.910555292830129</v>
      </c>
      <c r="K100" s="2">
        <f t="shared" si="17"/>
        <v>216094031142.20328</v>
      </c>
      <c r="M100">
        <v>0.92</v>
      </c>
      <c r="N100" s="2">
        <f t="shared" si="18"/>
        <v>0.38699173485225524</v>
      </c>
      <c r="O100" s="2">
        <f t="shared" si="19"/>
        <v>3227511068.6678085</v>
      </c>
      <c r="Q100">
        <v>0.92</v>
      </c>
      <c r="R100" s="2">
        <f t="shared" si="20"/>
        <v>64.497491599774321</v>
      </c>
      <c r="S100" s="2">
        <f t="shared" si="21"/>
        <v>537909079942.1178</v>
      </c>
      <c r="U100">
        <v>0.92</v>
      </c>
      <c r="V100" s="2">
        <f t="shared" si="22"/>
        <v>26.21403896246991</v>
      </c>
      <c r="W100" s="2">
        <f t="shared" si="23"/>
        <v>218625084946.99905</v>
      </c>
    </row>
    <row r="101" spans="1:23" x14ac:dyDescent="0.25">
      <c r="A101">
        <v>0.93</v>
      </c>
      <c r="B101" s="2">
        <f t="shared" si="12"/>
        <v>1.5016290034124656E-3</v>
      </c>
      <c r="C101" s="2">
        <f t="shared" si="13"/>
        <v>12523585.888459964</v>
      </c>
      <c r="E101">
        <v>0.93</v>
      </c>
      <c r="F101" s="2">
        <f t="shared" si="14"/>
        <v>22.671735881226358</v>
      </c>
      <c r="G101" s="2">
        <f t="shared" si="15"/>
        <v>189082277249.42783</v>
      </c>
      <c r="I101">
        <v>0.93</v>
      </c>
      <c r="J101" s="2">
        <f t="shared" si="16"/>
        <v>22.671735881226358</v>
      </c>
      <c r="K101" s="2">
        <f t="shared" si="17"/>
        <v>189082277249.42783</v>
      </c>
      <c r="M101">
        <v>0.93</v>
      </c>
      <c r="N101" s="2">
        <f t="shared" si="18"/>
        <v>0.3386177679957233</v>
      </c>
      <c r="O101" s="2">
        <f t="shared" si="19"/>
        <v>2824072185.084332</v>
      </c>
      <c r="Q101">
        <v>0.93</v>
      </c>
      <c r="R101" s="2">
        <f t="shared" si="20"/>
        <v>56.435305149802524</v>
      </c>
      <c r="S101" s="2">
        <f t="shared" si="21"/>
        <v>470670444949.35303</v>
      </c>
      <c r="U101">
        <v>0.93</v>
      </c>
      <c r="V101" s="2">
        <f t="shared" si="22"/>
        <v>22.937284092161171</v>
      </c>
      <c r="W101" s="2">
        <f t="shared" si="23"/>
        <v>191296949328.62418</v>
      </c>
    </row>
    <row r="102" spans="1:23" x14ac:dyDescent="0.25">
      <c r="A102">
        <v>0.94</v>
      </c>
      <c r="B102" s="2">
        <f t="shared" si="12"/>
        <v>1.2871105743535438E-3</v>
      </c>
      <c r="C102" s="2">
        <f t="shared" si="13"/>
        <v>10734502.190108556</v>
      </c>
      <c r="E102">
        <v>0.94</v>
      </c>
      <c r="F102" s="2">
        <f t="shared" si="14"/>
        <v>19.432916469622622</v>
      </c>
      <c r="G102" s="2">
        <f t="shared" si="15"/>
        <v>162070523356.65268</v>
      </c>
      <c r="I102">
        <v>0.94</v>
      </c>
      <c r="J102" s="2">
        <f t="shared" si="16"/>
        <v>19.432916469622622</v>
      </c>
      <c r="K102" s="2">
        <f t="shared" si="17"/>
        <v>162070523356.65268</v>
      </c>
      <c r="M102">
        <v>0.94</v>
      </c>
      <c r="N102" s="2">
        <f t="shared" si="18"/>
        <v>0.29024380113919185</v>
      </c>
      <c r="O102" s="2">
        <f t="shared" si="19"/>
        <v>2420633301.5008597</v>
      </c>
      <c r="Q102">
        <v>0.94</v>
      </c>
      <c r="R102" s="2">
        <f t="shared" si="20"/>
        <v>48.373118699830812</v>
      </c>
      <c r="S102" s="2">
        <f t="shared" si="21"/>
        <v>403431809956.58899</v>
      </c>
      <c r="U102">
        <v>0.94</v>
      </c>
      <c r="V102" s="2">
        <f t="shared" si="22"/>
        <v>19.66052922185246</v>
      </c>
      <c r="W102" s="2">
        <f t="shared" si="23"/>
        <v>163968813710.24954</v>
      </c>
    </row>
    <row r="103" spans="1:23" x14ac:dyDescent="0.25">
      <c r="A103">
        <v>0.95</v>
      </c>
      <c r="B103" s="2">
        <f t="shared" si="12"/>
        <v>1.0725921452946199E-3</v>
      </c>
      <c r="C103" s="2">
        <f t="shared" si="13"/>
        <v>8945418.4917571303</v>
      </c>
      <c r="E103">
        <v>0.95</v>
      </c>
      <c r="F103" s="2">
        <f t="shared" si="14"/>
        <v>16.194097058018851</v>
      </c>
      <c r="G103" s="2">
        <f t="shared" si="15"/>
        <v>135058769463.87723</v>
      </c>
      <c r="I103">
        <v>0.95</v>
      </c>
      <c r="J103" s="2">
        <f t="shared" si="16"/>
        <v>16.194097058018851</v>
      </c>
      <c r="K103" s="2">
        <f t="shared" si="17"/>
        <v>135058769463.87723</v>
      </c>
      <c r="M103">
        <v>0.95</v>
      </c>
      <c r="N103" s="2">
        <f t="shared" si="18"/>
        <v>0.24186983428265987</v>
      </c>
      <c r="O103" s="2">
        <f t="shared" si="19"/>
        <v>2017194417.9173834</v>
      </c>
      <c r="Q103">
        <v>0.95</v>
      </c>
      <c r="R103" s="2">
        <f t="shared" si="20"/>
        <v>40.310932249859007</v>
      </c>
      <c r="S103" s="2">
        <f t="shared" si="21"/>
        <v>336193174963.8241</v>
      </c>
      <c r="U103">
        <v>0.95</v>
      </c>
      <c r="V103" s="2">
        <f t="shared" si="22"/>
        <v>16.383774351543718</v>
      </c>
      <c r="W103" s="2">
        <f t="shared" si="23"/>
        <v>136640678091.87462</v>
      </c>
    </row>
    <row r="104" spans="1:23" x14ac:dyDescent="0.25">
      <c r="A104">
        <v>0.96</v>
      </c>
      <c r="B104" s="2">
        <f t="shared" si="12"/>
        <v>8.5807371623569607E-4</v>
      </c>
      <c r="C104" s="2">
        <f t="shared" si="13"/>
        <v>7156334.7934057051</v>
      </c>
      <c r="E104">
        <v>0.96</v>
      </c>
      <c r="F104" s="2">
        <f t="shared" si="14"/>
        <v>12.955277646415082</v>
      </c>
      <c r="G104" s="2">
        <f t="shared" si="15"/>
        <v>108047015571.10179</v>
      </c>
      <c r="I104">
        <v>0.96</v>
      </c>
      <c r="J104" s="2">
        <f t="shared" si="16"/>
        <v>12.955277646415082</v>
      </c>
      <c r="K104" s="2">
        <f t="shared" si="17"/>
        <v>108047015571.10179</v>
      </c>
      <c r="M104">
        <v>0.96</v>
      </c>
      <c r="N104" s="2">
        <f t="shared" si="18"/>
        <v>0.1934958674261279</v>
      </c>
      <c r="O104" s="2">
        <f t="shared" si="19"/>
        <v>1613755534.3339067</v>
      </c>
      <c r="Q104">
        <v>0.96</v>
      </c>
      <c r="R104" s="2">
        <f t="shared" si="20"/>
        <v>32.24874579988721</v>
      </c>
      <c r="S104" s="2">
        <f t="shared" si="21"/>
        <v>268954539971.05936</v>
      </c>
      <c r="U104">
        <v>0.96</v>
      </c>
      <c r="V104" s="2">
        <f t="shared" si="22"/>
        <v>13.107019481234975</v>
      </c>
      <c r="W104" s="2">
        <f t="shared" si="23"/>
        <v>109312542473.49969</v>
      </c>
    </row>
    <row r="105" spans="1:23" x14ac:dyDescent="0.25">
      <c r="A105">
        <v>0.97</v>
      </c>
      <c r="B105" s="2">
        <f t="shared" si="12"/>
        <v>6.4355528717677192E-4</v>
      </c>
      <c r="C105" s="2">
        <f t="shared" si="13"/>
        <v>5367251.0950542782</v>
      </c>
      <c r="E105">
        <v>0.97</v>
      </c>
      <c r="F105" s="2">
        <f t="shared" si="14"/>
        <v>9.7164582348113111</v>
      </c>
      <c r="G105" s="2">
        <f t="shared" si="15"/>
        <v>81035261678.32634</v>
      </c>
      <c r="I105">
        <v>0.97</v>
      </c>
      <c r="J105" s="2">
        <f t="shared" si="16"/>
        <v>9.7164582348113111</v>
      </c>
      <c r="K105" s="2">
        <f t="shared" si="17"/>
        <v>81035261678.32634</v>
      </c>
      <c r="M105">
        <v>0.97</v>
      </c>
      <c r="N105" s="2">
        <f t="shared" si="18"/>
        <v>0.14512190056959592</v>
      </c>
      <c r="O105" s="2">
        <f t="shared" si="19"/>
        <v>1210316650.7504299</v>
      </c>
      <c r="Q105">
        <v>0.97</v>
      </c>
      <c r="R105" s="2">
        <f t="shared" si="20"/>
        <v>24.186559349915406</v>
      </c>
      <c r="S105" s="2">
        <f t="shared" si="21"/>
        <v>201715904978.29449</v>
      </c>
      <c r="U105">
        <v>0.97</v>
      </c>
      <c r="V105" s="2">
        <f t="shared" si="22"/>
        <v>9.8302646109262302</v>
      </c>
      <c r="W105" s="2">
        <f t="shared" si="23"/>
        <v>81984406855.124771</v>
      </c>
    </row>
    <row r="106" spans="1:23" x14ac:dyDescent="0.25">
      <c r="A106">
        <v>0.98</v>
      </c>
      <c r="B106" s="2">
        <f t="shared" si="12"/>
        <v>4.2903685811784804E-4</v>
      </c>
      <c r="C106" s="2">
        <f t="shared" si="13"/>
        <v>3578167.3967028526</v>
      </c>
      <c r="E106">
        <v>0.98</v>
      </c>
      <c r="F106" s="2">
        <f t="shared" si="14"/>
        <v>6.477638823207541</v>
      </c>
      <c r="G106" s="2">
        <f t="shared" si="15"/>
        <v>54023507785.550896</v>
      </c>
      <c r="I106">
        <v>0.98</v>
      </c>
      <c r="J106" s="2">
        <f t="shared" si="16"/>
        <v>6.477638823207541</v>
      </c>
      <c r="K106" s="2">
        <f t="shared" si="17"/>
        <v>54023507785.550896</v>
      </c>
      <c r="M106">
        <v>0.98</v>
      </c>
      <c r="N106" s="2">
        <f t="shared" si="18"/>
        <v>9.6747933713063949E-2</v>
      </c>
      <c r="O106" s="2">
        <f t="shared" si="19"/>
        <v>806877767.16695333</v>
      </c>
      <c r="Q106">
        <v>0.98</v>
      </c>
      <c r="R106" s="2">
        <f t="shared" si="20"/>
        <v>16.124372899943605</v>
      </c>
      <c r="S106" s="2">
        <f t="shared" si="21"/>
        <v>134477269985.52968</v>
      </c>
      <c r="U106">
        <v>0.98</v>
      </c>
      <c r="V106" s="2">
        <f t="shared" si="22"/>
        <v>6.5535097406174874</v>
      </c>
      <c r="W106" s="2">
        <f t="shared" si="23"/>
        <v>54656271236.749847</v>
      </c>
    </row>
    <row r="107" spans="1:23" x14ac:dyDescent="0.25">
      <c r="A107">
        <v>0.99</v>
      </c>
      <c r="B107" s="2">
        <f t="shared" si="12"/>
        <v>2.1451842905892402E-4</v>
      </c>
      <c r="C107" s="2">
        <f t="shared" si="13"/>
        <v>1789083.6983514263</v>
      </c>
      <c r="E107">
        <v>0.99</v>
      </c>
      <c r="F107" s="2">
        <f t="shared" si="14"/>
        <v>3.2388194116037705</v>
      </c>
      <c r="G107" s="2">
        <f t="shared" si="15"/>
        <v>27011753892.775448</v>
      </c>
      <c r="I107">
        <v>0.99</v>
      </c>
      <c r="J107" s="2">
        <f t="shared" si="16"/>
        <v>3.2388194116037705</v>
      </c>
      <c r="K107" s="2">
        <f t="shared" si="17"/>
        <v>27011753892.775448</v>
      </c>
      <c r="M107">
        <v>0.99</v>
      </c>
      <c r="N107" s="2">
        <f t="shared" si="18"/>
        <v>4.8373966856531975E-2</v>
      </c>
      <c r="O107" s="2">
        <f t="shared" si="19"/>
        <v>403438883.58347666</v>
      </c>
      <c r="Q107">
        <v>0.99</v>
      </c>
      <c r="R107" s="2">
        <f t="shared" si="20"/>
        <v>8.0621864499718026</v>
      </c>
      <c r="S107" s="2">
        <f t="shared" si="21"/>
        <v>67238634992.764839</v>
      </c>
      <c r="U107">
        <v>0.99</v>
      </c>
      <c r="V107" s="2">
        <f t="shared" si="22"/>
        <v>3.2767548703087437</v>
      </c>
      <c r="W107" s="2">
        <f t="shared" si="23"/>
        <v>27328135618.374924</v>
      </c>
    </row>
    <row r="108" spans="1:23" x14ac:dyDescent="0.25">
      <c r="A108">
        <v>1</v>
      </c>
      <c r="B108" s="2">
        <f t="shared" si="12"/>
        <v>0</v>
      </c>
      <c r="C108" s="2">
        <f t="shared" si="13"/>
        <v>0</v>
      </c>
      <c r="E108">
        <v>1</v>
      </c>
      <c r="F108" s="2">
        <f t="shared" si="14"/>
        <v>0</v>
      </c>
      <c r="G108" s="2">
        <f t="shared" si="15"/>
        <v>0</v>
      </c>
      <c r="I108">
        <v>1</v>
      </c>
      <c r="J108" s="2">
        <f t="shared" si="16"/>
        <v>0</v>
      </c>
      <c r="K108" s="2">
        <f t="shared" si="17"/>
        <v>0</v>
      </c>
      <c r="M108">
        <v>1</v>
      </c>
      <c r="N108" s="2">
        <f t="shared" si="18"/>
        <v>0</v>
      </c>
      <c r="O108" s="2">
        <f t="shared" si="19"/>
        <v>0</v>
      </c>
      <c r="Q108">
        <v>1</v>
      </c>
      <c r="R108" s="2">
        <f t="shared" si="20"/>
        <v>0</v>
      </c>
      <c r="S108" s="2">
        <f t="shared" si="21"/>
        <v>0</v>
      </c>
      <c r="U108">
        <v>1</v>
      </c>
      <c r="V108" s="2">
        <f t="shared" si="22"/>
        <v>0</v>
      </c>
      <c r="W108" s="2">
        <f t="shared" si="23"/>
        <v>0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F2D16-8E76-47FB-A3D6-A644392E9824}">
  <sheetPr codeName="Sheet8"/>
  <dimension ref="A1:W25"/>
  <sheetViews>
    <sheetView topLeftCell="H1" workbookViewId="0">
      <selection activeCell="R11" sqref="R11"/>
    </sheetView>
  </sheetViews>
  <sheetFormatPr defaultRowHeight="15" x14ac:dyDescent="0.25"/>
  <cols>
    <col min="1" max="1" width="17.85546875" bestFit="1" customWidth="1"/>
    <col min="3" max="3" width="10.5703125" bestFit="1" customWidth="1"/>
    <col min="4" max="4" width="10.85546875" bestFit="1" customWidth="1"/>
    <col min="5" max="5" width="10.5703125" bestFit="1" customWidth="1"/>
    <col min="6" max="6" width="10.85546875" bestFit="1" customWidth="1"/>
    <col min="12" max="12" width="12.5703125" bestFit="1" customWidth="1"/>
  </cols>
  <sheetData>
    <row r="1" spans="1:23" x14ac:dyDescent="0.25">
      <c r="A1" t="s">
        <v>154</v>
      </c>
      <c r="B1" t="s">
        <v>149</v>
      </c>
      <c r="C1" t="s">
        <v>150</v>
      </c>
      <c r="D1" t="s">
        <v>151</v>
      </c>
      <c r="E1" t="s">
        <v>152</v>
      </c>
      <c r="F1" t="s">
        <v>153</v>
      </c>
      <c r="H1" t="s">
        <v>159</v>
      </c>
      <c r="K1" s="29" t="s">
        <v>170</v>
      </c>
      <c r="R1" t="s">
        <v>181</v>
      </c>
    </row>
    <row r="2" spans="1:23" x14ac:dyDescent="0.25">
      <c r="A2" s="27" t="s">
        <v>155</v>
      </c>
      <c r="B2">
        <v>0.4</v>
      </c>
      <c r="C2">
        <v>-70.845860524587494</v>
      </c>
      <c r="D2">
        <v>1371.1022479048199</v>
      </c>
      <c r="E2">
        <v>-130502.817439298</v>
      </c>
      <c r="F2">
        <v>34.168248064059597</v>
      </c>
      <c r="H2" t="s">
        <v>160</v>
      </c>
      <c r="K2" t="s">
        <v>171</v>
      </c>
      <c r="L2" t="s">
        <v>174</v>
      </c>
      <c r="M2" t="s">
        <v>175</v>
      </c>
      <c r="N2" t="s">
        <v>172</v>
      </c>
      <c r="O2" t="s">
        <v>173</v>
      </c>
      <c r="P2" t="s">
        <v>176</v>
      </c>
      <c r="R2" t="s">
        <v>171</v>
      </c>
      <c r="S2" t="s">
        <v>174</v>
      </c>
      <c r="T2" t="s">
        <v>175</v>
      </c>
      <c r="U2" t="s">
        <v>172</v>
      </c>
      <c r="V2" t="s">
        <v>173</v>
      </c>
      <c r="W2" t="s">
        <v>176</v>
      </c>
    </row>
    <row r="3" spans="1:23" x14ac:dyDescent="0.25">
      <c r="A3" t="s">
        <v>156</v>
      </c>
      <c r="B3">
        <v>0.6</v>
      </c>
      <c r="C3">
        <v>-48.770925785040802</v>
      </c>
      <c r="D3">
        <v>1350.2937903639199</v>
      </c>
      <c r="E3">
        <v>-128180.053052316</v>
      </c>
      <c r="F3">
        <v>33.359294009698402</v>
      </c>
      <c r="K3">
        <v>100</v>
      </c>
      <c r="L3">
        <v>2.6030000000000002</v>
      </c>
      <c r="M3">
        <v>0.26600000000000001</v>
      </c>
      <c r="N3">
        <v>100</v>
      </c>
      <c r="O3">
        <v>10</v>
      </c>
      <c r="P3" t="s">
        <v>160</v>
      </c>
      <c r="R3">
        <v>100</v>
      </c>
      <c r="S3">
        <v>2.6030000000000002</v>
      </c>
      <c r="T3">
        <v>0.26600000000000001</v>
      </c>
      <c r="U3">
        <v>100</v>
      </c>
      <c r="V3">
        <v>10</v>
      </c>
      <c r="W3" t="s">
        <v>160</v>
      </c>
    </row>
    <row r="4" spans="1:23" x14ac:dyDescent="0.25">
      <c r="B4">
        <v>0.8</v>
      </c>
      <c r="C4">
        <v>-41.279260690553301</v>
      </c>
      <c r="D4">
        <v>1346.0338814567201</v>
      </c>
      <c r="E4">
        <v>-127692.23639531901</v>
      </c>
      <c r="F4">
        <v>33.256106208045502</v>
      </c>
      <c r="K4">
        <v>100</v>
      </c>
      <c r="L4">
        <v>2.4620000000000002</v>
      </c>
      <c r="M4">
        <v>2.7199999999999998E-2</v>
      </c>
      <c r="N4">
        <v>100</v>
      </c>
      <c r="O4">
        <v>5</v>
      </c>
      <c r="P4" t="s">
        <v>160</v>
      </c>
      <c r="R4">
        <v>100</v>
      </c>
      <c r="S4">
        <v>2.4620000000000002</v>
      </c>
      <c r="T4">
        <v>2.7199999999999998E-2</v>
      </c>
      <c r="U4">
        <v>100</v>
      </c>
      <c r="V4">
        <v>5</v>
      </c>
      <c r="W4" t="s">
        <v>160</v>
      </c>
    </row>
    <row r="5" spans="1:23" x14ac:dyDescent="0.25">
      <c r="A5" s="27" t="s">
        <v>155</v>
      </c>
      <c r="B5">
        <v>0.4</v>
      </c>
      <c r="C5">
        <v>1.00026401018807</v>
      </c>
      <c r="D5">
        <v>1371.1022479048199</v>
      </c>
      <c r="E5">
        <v>1.00000053313072</v>
      </c>
      <c r="F5">
        <v>130504.817439298</v>
      </c>
      <c r="H5" t="s">
        <v>160</v>
      </c>
      <c r="K5">
        <v>100</v>
      </c>
      <c r="L5">
        <v>2.4249999999999998</v>
      </c>
      <c r="M5">
        <v>1.3650000000000001E-2</v>
      </c>
      <c r="N5">
        <v>100</v>
      </c>
      <c r="O5">
        <v>1</v>
      </c>
      <c r="P5" t="s">
        <v>160</v>
      </c>
      <c r="R5">
        <v>100</v>
      </c>
      <c r="S5">
        <v>2.4249999999999998</v>
      </c>
      <c r="T5">
        <v>1.3650000000000001E-2</v>
      </c>
      <c r="U5">
        <v>100</v>
      </c>
      <c r="V5">
        <v>1</v>
      </c>
      <c r="W5" t="s">
        <v>160</v>
      </c>
    </row>
    <row r="6" spans="1:23" x14ac:dyDescent="0.25">
      <c r="A6" t="s">
        <v>157</v>
      </c>
      <c r="B6">
        <v>0.6</v>
      </c>
      <c r="C6">
        <v>1.00050198995585</v>
      </c>
      <c r="D6">
        <v>1350.2937903639199</v>
      </c>
      <c r="E6">
        <v>1.00000001767269</v>
      </c>
      <c r="F6">
        <v>128182.053052316</v>
      </c>
      <c r="K6">
        <v>200</v>
      </c>
      <c r="L6">
        <v>0.30669999999999997</v>
      </c>
      <c r="M6">
        <v>1.0200000000000001E-2</v>
      </c>
      <c r="N6">
        <v>10</v>
      </c>
      <c r="O6" t="s">
        <v>178</v>
      </c>
      <c r="P6" t="s">
        <v>161</v>
      </c>
      <c r="R6">
        <v>200</v>
      </c>
      <c r="S6">
        <v>0.36930000000000002</v>
      </c>
      <c r="T6">
        <v>3.4000000000000002E-2</v>
      </c>
      <c r="U6">
        <v>100</v>
      </c>
      <c r="V6">
        <v>1</v>
      </c>
      <c r="W6" t="s">
        <v>160</v>
      </c>
    </row>
    <row r="7" spans="1:23" x14ac:dyDescent="0.25">
      <c r="B7">
        <v>0.8</v>
      </c>
      <c r="C7">
        <v>1.00057303933987</v>
      </c>
      <c r="D7">
        <v>1346.0338814567201</v>
      </c>
      <c r="E7">
        <v>1.00000146299174</v>
      </c>
      <c r="F7">
        <v>127694.23639531901</v>
      </c>
      <c r="K7">
        <v>200</v>
      </c>
      <c r="L7">
        <v>0.30499999999999999</v>
      </c>
      <c r="M7">
        <v>8.9999999999999993E-3</v>
      </c>
      <c r="N7">
        <v>10</v>
      </c>
      <c r="O7">
        <v>1</v>
      </c>
      <c r="P7" t="s">
        <v>161</v>
      </c>
      <c r="R7">
        <v>400</v>
      </c>
      <c r="S7">
        <v>0.36899999999999999</v>
      </c>
      <c r="T7">
        <v>2.75</v>
      </c>
      <c r="U7">
        <v>100</v>
      </c>
      <c r="V7">
        <v>14</v>
      </c>
      <c r="W7" t="s">
        <v>160</v>
      </c>
    </row>
    <row r="8" spans="1:23" x14ac:dyDescent="0.25">
      <c r="A8" s="27" t="s">
        <v>155</v>
      </c>
      <c r="B8">
        <v>0.4</v>
      </c>
      <c r="C8">
        <v>0.28129536162270802</v>
      </c>
      <c r="D8">
        <v>1371.1022479048199</v>
      </c>
      <c r="E8">
        <v>-130502.817439298</v>
      </c>
      <c r="F8">
        <v>34.168248064059597</v>
      </c>
      <c r="H8" t="s">
        <v>160</v>
      </c>
      <c r="K8">
        <v>200</v>
      </c>
      <c r="L8">
        <v>0.36930000000000002</v>
      </c>
      <c r="M8">
        <v>3.4000000000000002E-2</v>
      </c>
      <c r="N8">
        <v>100</v>
      </c>
      <c r="O8">
        <v>1</v>
      </c>
      <c r="P8" t="s">
        <v>160</v>
      </c>
      <c r="R8">
        <v>400</v>
      </c>
      <c r="S8">
        <v>0.26200000000000001</v>
      </c>
      <c r="T8">
        <v>2.25</v>
      </c>
      <c r="U8">
        <v>100</v>
      </c>
      <c r="V8">
        <v>11</v>
      </c>
      <c r="W8" t="s">
        <v>160</v>
      </c>
    </row>
    <row r="9" spans="1:23" x14ac:dyDescent="0.25">
      <c r="A9" t="s">
        <v>162</v>
      </c>
      <c r="B9">
        <v>0.6</v>
      </c>
      <c r="C9">
        <v>0.53018545734696898</v>
      </c>
      <c r="D9">
        <v>1350.2937903639199</v>
      </c>
      <c r="E9">
        <v>-128180.053052316</v>
      </c>
      <c r="F9">
        <v>33.359294009698402</v>
      </c>
      <c r="K9">
        <v>400</v>
      </c>
      <c r="L9">
        <v>0.13700000000000001</v>
      </c>
      <c r="M9">
        <v>0.503</v>
      </c>
      <c r="N9">
        <v>10</v>
      </c>
      <c r="O9">
        <v>20</v>
      </c>
      <c r="P9" t="s">
        <v>160</v>
      </c>
      <c r="R9">
        <v>400</v>
      </c>
      <c r="S9">
        <v>7.1099999999999997E-2</v>
      </c>
      <c r="T9">
        <v>5.4999999999999997E-3</v>
      </c>
      <c r="U9">
        <v>100</v>
      </c>
      <c r="V9">
        <v>10</v>
      </c>
      <c r="W9" t="s">
        <v>161</v>
      </c>
    </row>
    <row r="10" spans="1:23" x14ac:dyDescent="0.25">
      <c r="B10">
        <v>0.8</v>
      </c>
      <c r="C10">
        <v>0.69539492341257403</v>
      </c>
      <c r="D10">
        <v>1346.0338814567201</v>
      </c>
      <c r="E10">
        <v>-127692.23639531901</v>
      </c>
      <c r="F10">
        <v>33.256106208045502</v>
      </c>
      <c r="K10">
        <v>400</v>
      </c>
      <c r="L10">
        <v>7.1099999999999997E-2</v>
      </c>
      <c r="M10">
        <v>5.4999999999999997E-3</v>
      </c>
      <c r="N10">
        <v>100</v>
      </c>
      <c r="O10">
        <v>10</v>
      </c>
      <c r="P10" t="s">
        <v>161</v>
      </c>
      <c r="R10">
        <v>400</v>
      </c>
      <c r="S10">
        <v>7.0800000000000002E-2</v>
      </c>
      <c r="T10">
        <v>5.4999999999999997E-3</v>
      </c>
      <c r="U10">
        <v>100</v>
      </c>
      <c r="V10">
        <v>1</v>
      </c>
      <c r="W10" t="s">
        <v>161</v>
      </c>
    </row>
    <row r="11" spans="1:23" x14ac:dyDescent="0.25">
      <c r="A11" s="27" t="s">
        <v>155</v>
      </c>
      <c r="B11">
        <v>0.4</v>
      </c>
      <c r="C11">
        <v>1.00026401018807</v>
      </c>
      <c r="D11">
        <v>1371.1022479048199</v>
      </c>
      <c r="E11">
        <v>1.00000053313072</v>
      </c>
      <c r="F11">
        <v>130504.817439298</v>
      </c>
      <c r="H11" t="s">
        <v>160</v>
      </c>
      <c r="K11">
        <v>400</v>
      </c>
      <c r="L11" t="s">
        <v>183</v>
      </c>
      <c r="N11">
        <v>10</v>
      </c>
      <c r="O11" t="s">
        <v>182</v>
      </c>
      <c r="P11" t="s">
        <v>161</v>
      </c>
    </row>
    <row r="12" spans="1:23" x14ac:dyDescent="0.25">
      <c r="A12" t="s">
        <v>163</v>
      </c>
      <c r="B12">
        <v>0.6</v>
      </c>
      <c r="C12">
        <v>1.00050198995585</v>
      </c>
      <c r="D12">
        <v>1350.2937903639199</v>
      </c>
      <c r="E12">
        <v>1.00000001767269</v>
      </c>
      <c r="F12">
        <v>128182.053052316</v>
      </c>
      <c r="K12">
        <v>400</v>
      </c>
      <c r="L12">
        <v>7.0800000000000002E-2</v>
      </c>
      <c r="M12">
        <v>5.4999999999999997E-3</v>
      </c>
      <c r="N12">
        <v>100</v>
      </c>
      <c r="O12">
        <v>1</v>
      </c>
      <c r="P12" t="s">
        <v>161</v>
      </c>
      <c r="R12">
        <v>100</v>
      </c>
      <c r="S12">
        <v>2.4140000000000001</v>
      </c>
      <c r="T12">
        <v>1.2699999999999999E-2</v>
      </c>
      <c r="U12">
        <v>10</v>
      </c>
      <c r="V12">
        <v>1</v>
      </c>
      <c r="W12" t="s">
        <v>160</v>
      </c>
    </row>
    <row r="13" spans="1:23" x14ac:dyDescent="0.25">
      <c r="B13">
        <v>0.8</v>
      </c>
      <c r="C13">
        <v>1.00057303933987</v>
      </c>
      <c r="D13">
        <v>1346.0338814567201</v>
      </c>
      <c r="E13">
        <v>1.00000146299174</v>
      </c>
      <c r="F13">
        <v>127694.23639531901</v>
      </c>
      <c r="K13">
        <v>400</v>
      </c>
      <c r="L13">
        <v>0.12959999999999999</v>
      </c>
      <c r="M13">
        <v>0.20899999999999999</v>
      </c>
      <c r="N13">
        <v>10</v>
      </c>
      <c r="O13">
        <v>15</v>
      </c>
      <c r="P13" t="s">
        <v>160</v>
      </c>
      <c r="R13">
        <v>200</v>
      </c>
      <c r="S13">
        <v>0.30499999999999999</v>
      </c>
      <c r="T13">
        <v>8.9999999999999993E-3</v>
      </c>
      <c r="U13">
        <v>10</v>
      </c>
      <c r="V13">
        <v>1</v>
      </c>
      <c r="W13" t="s">
        <v>161</v>
      </c>
    </row>
    <row r="14" spans="1:23" x14ac:dyDescent="0.25">
      <c r="A14" s="27" t="s">
        <v>158</v>
      </c>
      <c r="B14">
        <v>0.4</v>
      </c>
      <c r="C14">
        <v>-72.866677854694501</v>
      </c>
      <c r="D14">
        <v>3788.7326147245099</v>
      </c>
      <c r="E14">
        <v>-1875711.5738534799</v>
      </c>
      <c r="F14">
        <v>463358.56321739597</v>
      </c>
      <c r="H14" t="s">
        <v>161</v>
      </c>
      <c r="K14">
        <v>400</v>
      </c>
      <c r="L14" t="s">
        <v>177</v>
      </c>
      <c r="M14">
        <v>5.7999999999999996E-3</v>
      </c>
      <c r="N14">
        <v>10</v>
      </c>
      <c r="O14" t="s">
        <v>179</v>
      </c>
      <c r="P14" t="s">
        <v>161</v>
      </c>
      <c r="R14">
        <v>200</v>
      </c>
      <c r="S14">
        <v>0.30669999999999997</v>
      </c>
      <c r="T14">
        <v>1.0200000000000001E-2</v>
      </c>
      <c r="U14">
        <v>10</v>
      </c>
      <c r="V14" t="s">
        <v>178</v>
      </c>
      <c r="W14" t="s">
        <v>161</v>
      </c>
    </row>
    <row r="15" spans="1:23" x14ac:dyDescent="0.25">
      <c r="A15" t="s">
        <v>156</v>
      </c>
      <c r="B15">
        <v>0.6</v>
      </c>
      <c r="C15">
        <v>-117.761611001521</v>
      </c>
      <c r="D15">
        <v>1993.07173038564</v>
      </c>
      <c r="E15">
        <v>-353053.01634724898</v>
      </c>
      <c r="F15">
        <v>56584455.152832501</v>
      </c>
      <c r="K15">
        <v>200</v>
      </c>
      <c r="L15">
        <v>0.36</v>
      </c>
      <c r="M15">
        <v>2.4500000000000001E-2</v>
      </c>
      <c r="N15">
        <v>10</v>
      </c>
      <c r="O15" t="s">
        <v>180</v>
      </c>
      <c r="P15" t="s">
        <v>160</v>
      </c>
      <c r="R15">
        <v>200</v>
      </c>
      <c r="S15">
        <v>0.317</v>
      </c>
      <c r="T15">
        <v>1.1599999999999999E-2</v>
      </c>
      <c r="U15">
        <v>10</v>
      </c>
      <c r="V15">
        <v>5</v>
      </c>
      <c r="W15" t="s">
        <v>161</v>
      </c>
    </row>
    <row r="16" spans="1:23" x14ac:dyDescent="0.25">
      <c r="B16">
        <v>0.8</v>
      </c>
      <c r="C16">
        <v>-131.873251217871</v>
      </c>
      <c r="D16">
        <v>1746.0808878555999</v>
      </c>
      <c r="E16">
        <v>-5.9722557747177998</v>
      </c>
      <c r="F16">
        <v>683531.85534911801</v>
      </c>
      <c r="K16">
        <v>200</v>
      </c>
      <c r="L16">
        <v>0.317</v>
      </c>
      <c r="M16">
        <v>1.1599999999999999E-2</v>
      </c>
      <c r="N16">
        <v>10</v>
      </c>
      <c r="O16">
        <v>5</v>
      </c>
      <c r="P16" t="s">
        <v>161</v>
      </c>
      <c r="R16">
        <v>200</v>
      </c>
      <c r="S16">
        <v>0.36</v>
      </c>
      <c r="T16">
        <v>2.4500000000000001E-2</v>
      </c>
      <c r="U16">
        <v>10</v>
      </c>
      <c r="V16" t="s">
        <v>180</v>
      </c>
      <c r="W16" t="s">
        <v>160</v>
      </c>
    </row>
    <row r="17" spans="1:23" x14ac:dyDescent="0.25">
      <c r="A17" s="27" t="s">
        <v>158</v>
      </c>
      <c r="B17">
        <v>0.4</v>
      </c>
      <c r="C17">
        <v>1.0007298725343501</v>
      </c>
      <c r="D17">
        <v>3788.7326147245099</v>
      </c>
      <c r="E17">
        <v>1.0000076626110901</v>
      </c>
      <c r="F17">
        <v>1875713.5738534799</v>
      </c>
      <c r="H17" t="s">
        <v>161</v>
      </c>
      <c r="K17">
        <v>200</v>
      </c>
      <c r="L17">
        <v>0.38200000000000001</v>
      </c>
      <c r="M17">
        <v>0.1</v>
      </c>
      <c r="N17">
        <v>10</v>
      </c>
      <c r="O17">
        <v>14</v>
      </c>
      <c r="P17" t="s">
        <v>184</v>
      </c>
      <c r="R17">
        <v>400</v>
      </c>
      <c r="S17" t="s">
        <v>177</v>
      </c>
      <c r="T17">
        <v>5.7999999999999996E-3</v>
      </c>
      <c r="U17">
        <v>10</v>
      </c>
      <c r="V17" t="s">
        <v>179</v>
      </c>
      <c r="W17" t="s">
        <v>161</v>
      </c>
    </row>
    <row r="18" spans="1:23" x14ac:dyDescent="0.25">
      <c r="A18" t="s">
        <v>157</v>
      </c>
      <c r="B18">
        <v>0.6</v>
      </c>
      <c r="C18">
        <v>1.0007411284385499</v>
      </c>
      <c r="D18">
        <v>1993.07173038564</v>
      </c>
      <c r="E18">
        <v>1.000007801465</v>
      </c>
      <c r="F18">
        <v>56584455.152832501</v>
      </c>
      <c r="K18">
        <v>400</v>
      </c>
      <c r="L18">
        <v>0.36899999999999999</v>
      </c>
      <c r="M18">
        <v>2.75</v>
      </c>
      <c r="N18">
        <v>100</v>
      </c>
      <c r="O18">
        <v>14</v>
      </c>
      <c r="P18" t="s">
        <v>160</v>
      </c>
      <c r="R18">
        <v>400</v>
      </c>
      <c r="S18">
        <v>0.12959999999999999</v>
      </c>
      <c r="T18">
        <v>0.20899999999999999</v>
      </c>
      <c r="U18">
        <v>10</v>
      </c>
      <c r="V18">
        <v>15</v>
      </c>
      <c r="W18" t="s">
        <v>160</v>
      </c>
    </row>
    <row r="19" spans="1:23" x14ac:dyDescent="0.25">
      <c r="B19">
        <v>0.8</v>
      </c>
      <c r="C19">
        <v>1.0007434756951299</v>
      </c>
      <c r="D19">
        <v>1746.0808878555999</v>
      </c>
      <c r="E19">
        <v>1.00000783126834</v>
      </c>
      <c r="F19">
        <v>683531.85534911801</v>
      </c>
      <c r="K19">
        <v>400</v>
      </c>
      <c r="L19">
        <v>0.26200000000000001</v>
      </c>
      <c r="M19">
        <v>2.25</v>
      </c>
      <c r="N19">
        <v>100</v>
      </c>
      <c r="O19">
        <v>11</v>
      </c>
      <c r="P19" t="s">
        <v>160</v>
      </c>
      <c r="R19">
        <v>400</v>
      </c>
      <c r="S19">
        <v>0.13700000000000001</v>
      </c>
      <c r="T19">
        <v>0.503</v>
      </c>
      <c r="U19">
        <v>10</v>
      </c>
      <c r="V19">
        <v>20</v>
      </c>
      <c r="W19" t="s">
        <v>160</v>
      </c>
    </row>
    <row r="20" spans="1:23" x14ac:dyDescent="0.25">
      <c r="A20" s="27" t="s">
        <v>158</v>
      </c>
      <c r="B20">
        <v>0.4</v>
      </c>
      <c r="C20">
        <v>-72.866677854694501</v>
      </c>
      <c r="D20">
        <v>3788.7326147245099</v>
      </c>
      <c r="E20">
        <v>-1875711.5738534799</v>
      </c>
      <c r="F20">
        <v>1713698.4515880099</v>
      </c>
      <c r="H20" t="s">
        <v>161</v>
      </c>
      <c r="K20">
        <v>100</v>
      </c>
      <c r="L20">
        <v>2.4140000000000001</v>
      </c>
      <c r="M20">
        <v>1.2699999999999999E-2</v>
      </c>
      <c r="N20">
        <v>10</v>
      </c>
      <c r="O20">
        <v>1</v>
      </c>
      <c r="P20" t="s">
        <v>160</v>
      </c>
    </row>
    <row r="21" spans="1:23" x14ac:dyDescent="0.25">
      <c r="A21" t="s">
        <v>162</v>
      </c>
      <c r="B21">
        <v>0.6</v>
      </c>
      <c r="C21">
        <v>-117.761611001521</v>
      </c>
      <c r="D21">
        <v>1993.07173038564</v>
      </c>
      <c r="E21">
        <v>-353053.01634724898</v>
      </c>
      <c r="F21">
        <v>56584455.152832501</v>
      </c>
    </row>
    <row r="22" spans="1:23" x14ac:dyDescent="0.25">
      <c r="B22">
        <v>0.8</v>
      </c>
      <c r="C22">
        <v>-131.873251217871</v>
      </c>
      <c r="D22">
        <v>1746.0808878555999</v>
      </c>
      <c r="E22">
        <v>-323940.259136312</v>
      </c>
      <c r="F22">
        <v>683531.85534911801</v>
      </c>
    </row>
    <row r="23" spans="1:23" x14ac:dyDescent="0.25">
      <c r="A23" s="27" t="s">
        <v>158</v>
      </c>
      <c r="B23">
        <v>0.4</v>
      </c>
      <c r="C23">
        <v>1.0007298725343501</v>
      </c>
      <c r="D23">
        <v>3788.7326147245099</v>
      </c>
      <c r="E23">
        <v>1.0000076626110901</v>
      </c>
      <c r="F23">
        <v>1875713.5738534799</v>
      </c>
      <c r="H23" t="s">
        <v>161</v>
      </c>
    </row>
    <row r="24" spans="1:23" x14ac:dyDescent="0.25">
      <c r="A24" t="s">
        <v>163</v>
      </c>
      <c r="B24">
        <v>0.6</v>
      </c>
      <c r="C24">
        <v>1.0007411284385499</v>
      </c>
      <c r="D24">
        <v>1993.07173038564</v>
      </c>
      <c r="E24">
        <v>1.000007801465</v>
      </c>
      <c r="F24">
        <v>56584455.152832501</v>
      </c>
    </row>
    <row r="25" spans="1:23" x14ac:dyDescent="0.25">
      <c r="B25">
        <v>0.8</v>
      </c>
      <c r="C25">
        <v>1.0007434756951299</v>
      </c>
      <c r="D25">
        <v>1746.0808878555999</v>
      </c>
      <c r="E25">
        <v>1.00000783126834</v>
      </c>
      <c r="F25">
        <v>683531.85534911801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C7F47-CBB8-4962-A50C-2146AC268A42}">
  <sheetPr codeName="Sheet6"/>
  <dimension ref="A1:R56"/>
  <sheetViews>
    <sheetView workbookViewId="0">
      <pane xSplit="1" ySplit="11" topLeftCell="B16" activePane="bottomRight" state="frozen"/>
      <selection pane="topRight" activeCell="B1" sqref="B1"/>
      <selection pane="bottomLeft" activeCell="A12" sqref="A12"/>
      <selection pane="bottomRight" activeCell="A13" sqref="A13"/>
    </sheetView>
  </sheetViews>
  <sheetFormatPr defaultRowHeight="15" x14ac:dyDescent="0.25"/>
  <cols>
    <col min="1" max="1" width="26.140625" bestFit="1" customWidth="1"/>
    <col min="2" max="2" width="11.85546875" customWidth="1"/>
    <col min="3" max="3" width="10.7109375" bestFit="1" customWidth="1"/>
    <col min="4" max="4" width="10.28515625" bestFit="1" customWidth="1"/>
    <col min="5" max="5" width="8.28515625" customWidth="1"/>
    <col min="6" max="6" width="8.140625" customWidth="1"/>
    <col min="7" max="7" width="14.85546875" bestFit="1" customWidth="1"/>
    <col min="8" max="8" width="10.85546875" bestFit="1" customWidth="1"/>
    <col min="10" max="10" width="10.85546875" bestFit="1" customWidth="1"/>
    <col min="12" max="12" width="12.42578125" bestFit="1" customWidth="1"/>
    <col min="13" max="13" width="10.28515625" customWidth="1"/>
    <col min="15" max="15" width="13.28515625" bestFit="1" customWidth="1"/>
    <col min="16" max="16" width="24.5703125" bestFit="1" customWidth="1"/>
    <col min="17" max="17" width="14.7109375" customWidth="1"/>
    <col min="18" max="18" width="49.85546875" customWidth="1"/>
  </cols>
  <sheetData>
    <row r="1" spans="1:18" ht="18.75" x14ac:dyDescent="0.3">
      <c r="A1" s="20" t="s">
        <v>135</v>
      </c>
      <c r="B1" s="8" t="s">
        <v>43</v>
      </c>
      <c r="C1" s="8"/>
      <c r="D1" s="3"/>
      <c r="E1" t="s">
        <v>7</v>
      </c>
      <c r="J1" s="8"/>
      <c r="K1" s="8"/>
      <c r="L1" s="3" t="s">
        <v>137</v>
      </c>
      <c r="M1" t="s">
        <v>8</v>
      </c>
    </row>
    <row r="2" spans="1:18" x14ac:dyDescent="0.25">
      <c r="A2" s="3" t="s">
        <v>0</v>
      </c>
      <c r="B2" s="8" t="s">
        <v>44</v>
      </c>
      <c r="C2" s="8" t="s">
        <v>45</v>
      </c>
      <c r="D2" s="3" t="s">
        <v>46</v>
      </c>
      <c r="E2" s="8" t="s">
        <v>38</v>
      </c>
      <c r="F2" s="8" t="s">
        <v>39</v>
      </c>
      <c r="G2" t="s">
        <v>1</v>
      </c>
      <c r="H2" t="s">
        <v>2</v>
      </c>
      <c r="I2" t="s">
        <v>5</v>
      </c>
      <c r="J2" t="s">
        <v>3</v>
      </c>
      <c r="K2" s="8" t="s">
        <v>4</v>
      </c>
      <c r="L2" s="3" t="s">
        <v>19</v>
      </c>
      <c r="M2" s="4" t="s">
        <v>9</v>
      </c>
      <c r="N2" s="4" t="s">
        <v>10</v>
      </c>
      <c r="O2" s="4" t="s">
        <v>36</v>
      </c>
      <c r="P2" s="4" t="s">
        <v>122</v>
      </c>
      <c r="Q2" s="4" t="s">
        <v>57</v>
      </c>
      <c r="R2" s="4" t="s">
        <v>21</v>
      </c>
    </row>
    <row r="3" spans="1:18" x14ac:dyDescent="0.25">
      <c r="A3" s="3" t="s">
        <v>11</v>
      </c>
      <c r="B3" s="8"/>
      <c r="C3" s="8"/>
      <c r="D3" s="3"/>
      <c r="E3">
        <v>101</v>
      </c>
      <c r="F3">
        <v>601</v>
      </c>
      <c r="G3">
        <v>400</v>
      </c>
      <c r="H3" s="1" t="s">
        <v>6</v>
      </c>
      <c r="I3">
        <v>1</v>
      </c>
      <c r="J3">
        <v>40</v>
      </c>
      <c r="K3" s="9">
        <v>100000000</v>
      </c>
      <c r="L3" s="3">
        <v>300000</v>
      </c>
      <c r="M3" s="5" t="s">
        <v>6</v>
      </c>
      <c r="N3" s="4">
        <v>1.7</v>
      </c>
      <c r="O3" t="s">
        <v>6</v>
      </c>
      <c r="Q3" s="4"/>
    </row>
    <row r="4" spans="1:18" x14ac:dyDescent="0.25">
      <c r="A4" s="3" t="s">
        <v>12</v>
      </c>
      <c r="B4" s="8"/>
      <c r="C4" s="8"/>
      <c r="D4" s="3"/>
      <c r="E4">
        <v>101</v>
      </c>
      <c r="F4">
        <v>601</v>
      </c>
      <c r="G4">
        <v>400</v>
      </c>
      <c r="H4" s="1" t="s">
        <v>6</v>
      </c>
      <c r="I4">
        <v>1</v>
      </c>
      <c r="J4">
        <v>40</v>
      </c>
      <c r="K4" s="9">
        <v>100000000</v>
      </c>
      <c r="L4" s="3">
        <v>30000</v>
      </c>
      <c r="M4" t="s">
        <v>6</v>
      </c>
      <c r="N4">
        <v>0</v>
      </c>
      <c r="O4" t="s">
        <v>6</v>
      </c>
      <c r="Q4" s="4"/>
    </row>
    <row r="5" spans="1:18" x14ac:dyDescent="0.25">
      <c r="A5" s="3" t="s">
        <v>13</v>
      </c>
      <c r="B5" s="8"/>
      <c r="C5" s="8"/>
      <c r="D5" s="3"/>
      <c r="E5">
        <v>101</v>
      </c>
      <c r="F5">
        <v>601</v>
      </c>
      <c r="G5">
        <v>400</v>
      </c>
      <c r="H5" s="1" t="s">
        <v>6</v>
      </c>
      <c r="I5">
        <v>1</v>
      </c>
      <c r="J5">
        <v>40</v>
      </c>
      <c r="K5" s="9">
        <v>100000000</v>
      </c>
      <c r="L5" s="3">
        <v>1200</v>
      </c>
      <c r="M5" t="s">
        <v>6</v>
      </c>
      <c r="N5">
        <v>0</v>
      </c>
      <c r="O5" t="s">
        <v>6</v>
      </c>
      <c r="Q5" s="4"/>
    </row>
    <row r="6" spans="1:18" x14ac:dyDescent="0.25">
      <c r="A6" s="3" t="s">
        <v>14</v>
      </c>
      <c r="B6" s="8"/>
      <c r="C6" s="8"/>
      <c r="D6" s="3"/>
      <c r="E6">
        <v>101</v>
      </c>
      <c r="F6">
        <v>601</v>
      </c>
      <c r="G6">
        <v>400</v>
      </c>
      <c r="H6" s="1" t="s">
        <v>6</v>
      </c>
      <c r="I6">
        <v>1</v>
      </c>
      <c r="J6">
        <v>40</v>
      </c>
      <c r="K6" s="9">
        <v>1000000</v>
      </c>
      <c r="L6" s="3">
        <v>30000</v>
      </c>
      <c r="M6" t="s">
        <v>6</v>
      </c>
      <c r="N6">
        <v>0</v>
      </c>
      <c r="O6" t="s">
        <v>6</v>
      </c>
      <c r="Q6" s="4"/>
    </row>
    <row r="7" spans="1:18" x14ac:dyDescent="0.25">
      <c r="A7" s="3" t="s">
        <v>15</v>
      </c>
      <c r="B7" s="8"/>
      <c r="C7" s="8"/>
      <c r="D7" s="3"/>
      <c r="E7">
        <v>101</v>
      </c>
      <c r="F7">
        <v>601</v>
      </c>
      <c r="G7">
        <v>400</v>
      </c>
      <c r="H7" s="1" t="s">
        <v>6</v>
      </c>
      <c r="I7">
        <v>1</v>
      </c>
      <c r="J7">
        <v>40</v>
      </c>
      <c r="K7" s="9">
        <v>10000000</v>
      </c>
      <c r="L7" s="3">
        <v>300000</v>
      </c>
      <c r="M7" t="s">
        <v>6</v>
      </c>
      <c r="N7">
        <v>0</v>
      </c>
      <c r="O7" t="s">
        <v>6</v>
      </c>
      <c r="Q7" s="4"/>
    </row>
    <row r="8" spans="1:18" x14ac:dyDescent="0.25">
      <c r="A8" s="3" t="s">
        <v>16</v>
      </c>
      <c r="B8" s="8"/>
      <c r="C8" s="8"/>
      <c r="D8" s="3"/>
      <c r="E8">
        <v>101</v>
      </c>
      <c r="F8">
        <v>601</v>
      </c>
      <c r="G8">
        <v>400</v>
      </c>
      <c r="H8" s="1" t="s">
        <v>6</v>
      </c>
      <c r="I8">
        <v>1</v>
      </c>
      <c r="J8">
        <v>70</v>
      </c>
      <c r="K8" s="9">
        <v>100000000</v>
      </c>
      <c r="L8" s="3">
        <v>300000</v>
      </c>
      <c r="M8" t="s">
        <v>6</v>
      </c>
      <c r="N8">
        <v>0</v>
      </c>
      <c r="O8" t="s">
        <v>6</v>
      </c>
    </row>
    <row r="9" spans="1:18" x14ac:dyDescent="0.25">
      <c r="A9" s="3" t="s">
        <v>17</v>
      </c>
      <c r="B9" s="8"/>
      <c r="C9" s="8"/>
      <c r="D9" s="3"/>
      <c r="E9">
        <v>101</v>
      </c>
      <c r="F9">
        <v>601</v>
      </c>
      <c r="G9">
        <v>400</v>
      </c>
      <c r="H9" s="1" t="s">
        <v>6</v>
      </c>
      <c r="I9">
        <v>1</v>
      </c>
      <c r="J9">
        <v>170</v>
      </c>
      <c r="K9" s="9">
        <v>100000000</v>
      </c>
      <c r="L9" s="3">
        <v>300000</v>
      </c>
      <c r="M9" t="s">
        <v>6</v>
      </c>
      <c r="N9">
        <v>0</v>
      </c>
      <c r="O9" t="s">
        <v>6</v>
      </c>
    </row>
    <row r="10" spans="1:18" x14ac:dyDescent="0.25">
      <c r="A10" s="6" t="s">
        <v>107</v>
      </c>
      <c r="B10" s="8"/>
      <c r="C10" s="8"/>
      <c r="D10" s="3"/>
      <c r="J10" s="8"/>
      <c r="K10" s="8"/>
      <c r="L10" s="3"/>
      <c r="Q10" s="4"/>
    </row>
    <row r="11" spans="1:18" x14ac:dyDescent="0.25">
      <c r="A11" s="16" t="s">
        <v>108</v>
      </c>
      <c r="B11" s="8"/>
      <c r="C11" s="8"/>
      <c r="D11" s="3"/>
      <c r="J11" s="8"/>
      <c r="K11" s="8"/>
      <c r="L11" s="3"/>
      <c r="Q11" s="4"/>
    </row>
    <row r="12" spans="1:18" x14ac:dyDescent="0.25">
      <c r="A12" s="3"/>
      <c r="B12" s="8">
        <v>1523</v>
      </c>
      <c r="C12" s="8">
        <v>625</v>
      </c>
      <c r="D12" s="3">
        <v>156</v>
      </c>
      <c r="E12" s="8">
        <v>101</v>
      </c>
      <c r="F12" s="8">
        <v>601</v>
      </c>
      <c r="G12">
        <v>200</v>
      </c>
      <c r="H12">
        <v>1200</v>
      </c>
      <c r="I12" s="1" t="s">
        <v>6</v>
      </c>
      <c r="J12">
        <v>70</v>
      </c>
      <c r="K12" s="2">
        <v>4890000</v>
      </c>
      <c r="L12" s="14">
        <v>4.7</v>
      </c>
      <c r="M12" t="s">
        <v>79</v>
      </c>
      <c r="N12" t="s">
        <v>79</v>
      </c>
      <c r="O12" t="s">
        <v>79</v>
      </c>
      <c r="Q12" s="4"/>
      <c r="R12" t="s">
        <v>96</v>
      </c>
    </row>
    <row r="13" spans="1:18" x14ac:dyDescent="0.25">
      <c r="A13" s="3" t="s">
        <v>74</v>
      </c>
      <c r="B13" s="8">
        <v>1523</v>
      </c>
      <c r="C13" s="8">
        <v>625</v>
      </c>
      <c r="D13" s="3">
        <v>156</v>
      </c>
      <c r="E13" s="8">
        <v>101</v>
      </c>
      <c r="F13" s="8">
        <v>601</v>
      </c>
      <c r="G13">
        <v>200</v>
      </c>
      <c r="H13" t="s">
        <v>6</v>
      </c>
      <c r="I13" s="1">
        <v>0.8</v>
      </c>
      <c r="J13" s="8">
        <v>48</v>
      </c>
      <c r="K13" s="2">
        <v>4890000</v>
      </c>
      <c r="L13" s="14">
        <v>4.7</v>
      </c>
      <c r="M13">
        <v>0.48</v>
      </c>
      <c r="N13">
        <v>19.3</v>
      </c>
      <c r="O13">
        <v>6800</v>
      </c>
      <c r="P13" s="2">
        <v>800000</v>
      </c>
      <c r="Q13" s="4"/>
      <c r="R13" t="s">
        <v>82</v>
      </c>
    </row>
    <row r="14" spans="1:18" x14ac:dyDescent="0.25">
      <c r="A14" s="3" t="s">
        <v>75</v>
      </c>
      <c r="B14" s="8">
        <v>3808</v>
      </c>
      <c r="C14" s="8">
        <v>625</v>
      </c>
      <c r="D14" s="3">
        <v>156</v>
      </c>
      <c r="E14" s="8">
        <v>101</v>
      </c>
      <c r="F14" s="8">
        <v>601</v>
      </c>
      <c r="G14">
        <v>200</v>
      </c>
      <c r="H14">
        <v>1200</v>
      </c>
      <c r="I14" s="1" t="s">
        <v>6</v>
      </c>
      <c r="J14" s="8">
        <v>48</v>
      </c>
      <c r="K14" s="2">
        <v>4890000</v>
      </c>
      <c r="L14" s="14">
        <v>4.7</v>
      </c>
      <c r="M14">
        <v>0.67</v>
      </c>
      <c r="N14">
        <v>12.7</v>
      </c>
      <c r="O14">
        <v>7800</v>
      </c>
      <c r="P14" s="2">
        <v>700000</v>
      </c>
      <c r="Q14" s="4"/>
      <c r="R14" t="s">
        <v>83</v>
      </c>
    </row>
    <row r="15" spans="1:18" x14ac:dyDescent="0.25">
      <c r="A15" s="3"/>
      <c r="B15" s="8">
        <v>1523</v>
      </c>
      <c r="C15" s="8">
        <v>625</v>
      </c>
      <c r="D15" s="3">
        <v>156</v>
      </c>
      <c r="E15" s="8">
        <v>101</v>
      </c>
      <c r="F15" s="8">
        <v>601</v>
      </c>
      <c r="G15">
        <v>200</v>
      </c>
      <c r="H15">
        <v>1200</v>
      </c>
      <c r="I15" s="1" t="s">
        <v>6</v>
      </c>
      <c r="J15">
        <v>70</v>
      </c>
      <c r="K15" s="9">
        <v>2200000000</v>
      </c>
      <c r="L15" s="14">
        <v>4.7</v>
      </c>
      <c r="M15" t="s">
        <v>42</v>
      </c>
      <c r="N15" t="s">
        <v>42</v>
      </c>
      <c r="O15" t="s">
        <v>42</v>
      </c>
      <c r="Q15" s="4"/>
      <c r="R15" t="s">
        <v>84</v>
      </c>
    </row>
    <row r="16" spans="1:18" x14ac:dyDescent="0.25">
      <c r="A16" s="3"/>
      <c r="B16" s="8">
        <v>2020</v>
      </c>
      <c r="C16" s="8">
        <v>640</v>
      </c>
      <c r="D16" s="3">
        <v>0.6</v>
      </c>
      <c r="E16" s="8">
        <v>101</v>
      </c>
      <c r="F16" s="8">
        <v>601</v>
      </c>
      <c r="G16">
        <v>200</v>
      </c>
      <c r="H16">
        <v>1200</v>
      </c>
      <c r="I16" s="1" t="s">
        <v>6</v>
      </c>
      <c r="J16">
        <v>106.2</v>
      </c>
      <c r="K16" s="9">
        <v>2200000000</v>
      </c>
      <c r="L16" s="14">
        <v>7.61</v>
      </c>
      <c r="M16" t="s">
        <v>42</v>
      </c>
      <c r="N16" t="s">
        <v>42</v>
      </c>
      <c r="O16" t="s">
        <v>42</v>
      </c>
      <c r="Q16" s="4"/>
      <c r="R16" t="s">
        <v>78</v>
      </c>
    </row>
    <row r="17" spans="1:18" x14ac:dyDescent="0.25">
      <c r="A17" s="3"/>
      <c r="B17" s="8">
        <v>1523</v>
      </c>
      <c r="C17" s="8">
        <v>625</v>
      </c>
      <c r="D17" s="3">
        <v>0.6</v>
      </c>
      <c r="E17" s="8">
        <v>101</v>
      </c>
      <c r="F17" s="8">
        <v>601</v>
      </c>
      <c r="G17">
        <v>200</v>
      </c>
      <c r="H17">
        <v>1200</v>
      </c>
      <c r="I17" s="1" t="s">
        <v>6</v>
      </c>
      <c r="J17" s="8">
        <v>48</v>
      </c>
      <c r="K17" s="2">
        <v>4890000</v>
      </c>
      <c r="L17" s="14">
        <v>4.7</v>
      </c>
      <c r="M17" t="s">
        <v>42</v>
      </c>
      <c r="N17" t="s">
        <v>42</v>
      </c>
      <c r="O17" t="s">
        <v>42</v>
      </c>
      <c r="Q17" s="4"/>
      <c r="R17" s="4" t="s">
        <v>80</v>
      </c>
    </row>
    <row r="18" spans="1:18" x14ac:dyDescent="0.25">
      <c r="A18" s="3" t="s">
        <v>73</v>
      </c>
      <c r="B18" s="8">
        <v>1523</v>
      </c>
      <c r="C18" s="8">
        <v>625</v>
      </c>
      <c r="D18" s="3">
        <v>78</v>
      </c>
      <c r="E18" s="8">
        <v>101</v>
      </c>
      <c r="F18" s="8">
        <v>601</v>
      </c>
      <c r="G18">
        <v>200</v>
      </c>
      <c r="H18">
        <v>1200</v>
      </c>
      <c r="I18" s="1" t="s">
        <v>6</v>
      </c>
      <c r="J18" s="8">
        <v>48</v>
      </c>
      <c r="K18" s="2">
        <v>4890000</v>
      </c>
      <c r="L18" s="14">
        <v>4.7</v>
      </c>
      <c r="M18">
        <v>0.18</v>
      </c>
      <c r="N18">
        <v>14.2</v>
      </c>
      <c r="O18">
        <v>7800</v>
      </c>
      <c r="P18" s="2">
        <v>900000</v>
      </c>
      <c r="Q18" s="4"/>
      <c r="R18" s="4" t="s">
        <v>81</v>
      </c>
    </row>
    <row r="19" spans="1:18" x14ac:dyDescent="0.25">
      <c r="A19" s="3" t="s">
        <v>92</v>
      </c>
      <c r="B19" s="8">
        <v>1523</v>
      </c>
      <c r="C19" s="8">
        <v>625</v>
      </c>
      <c r="D19" s="3">
        <v>78</v>
      </c>
      <c r="E19" s="8">
        <v>101</v>
      </c>
      <c r="F19" s="8">
        <v>601</v>
      </c>
      <c r="G19">
        <v>200</v>
      </c>
      <c r="H19" t="s">
        <v>6</v>
      </c>
      <c r="I19" s="1">
        <v>0.8</v>
      </c>
      <c r="J19" s="8">
        <v>70</v>
      </c>
      <c r="K19" s="2">
        <v>4890000</v>
      </c>
      <c r="L19" s="14">
        <v>4.7</v>
      </c>
      <c r="M19">
        <v>0.85</v>
      </c>
      <c r="N19">
        <v>10.6</v>
      </c>
      <c r="O19">
        <v>7800</v>
      </c>
      <c r="P19" s="2">
        <v>650000</v>
      </c>
      <c r="Q19" s="4"/>
      <c r="R19" s="4" t="s">
        <v>90</v>
      </c>
    </row>
    <row r="20" spans="1:18" x14ac:dyDescent="0.25">
      <c r="A20" s="3" t="s">
        <v>93</v>
      </c>
      <c r="B20" s="8">
        <v>1523</v>
      </c>
      <c r="C20" s="8">
        <v>625</v>
      </c>
      <c r="D20" s="3">
        <v>78</v>
      </c>
      <c r="E20" s="8">
        <v>101</v>
      </c>
      <c r="F20" s="8">
        <v>601</v>
      </c>
      <c r="G20">
        <v>200</v>
      </c>
      <c r="H20">
        <v>1200</v>
      </c>
      <c r="I20" s="1" t="s">
        <v>6</v>
      </c>
      <c r="J20" s="8">
        <v>48</v>
      </c>
      <c r="K20" s="9">
        <v>141000</v>
      </c>
      <c r="L20" s="14">
        <v>4.7</v>
      </c>
      <c r="M20">
        <v>1.01</v>
      </c>
      <c r="N20">
        <v>0</v>
      </c>
      <c r="O20">
        <v>1200</v>
      </c>
      <c r="Q20" s="4"/>
      <c r="R20" s="4" t="s">
        <v>95</v>
      </c>
    </row>
    <row r="21" spans="1:18" x14ac:dyDescent="0.25">
      <c r="A21" s="3" t="s">
        <v>85</v>
      </c>
      <c r="B21" s="8">
        <v>1523</v>
      </c>
      <c r="C21" s="8">
        <v>625</v>
      </c>
      <c r="D21" s="3">
        <v>78</v>
      </c>
      <c r="E21" s="8">
        <v>101</v>
      </c>
      <c r="F21" s="8">
        <v>601</v>
      </c>
      <c r="G21">
        <v>200</v>
      </c>
      <c r="H21" t="s">
        <v>6</v>
      </c>
      <c r="I21" s="1">
        <v>0.8</v>
      </c>
      <c r="J21" s="8">
        <v>48</v>
      </c>
      <c r="K21" s="2">
        <v>4890000</v>
      </c>
      <c r="L21" s="14">
        <v>4.7</v>
      </c>
      <c r="M21">
        <v>0.18</v>
      </c>
      <c r="N21">
        <v>14.7</v>
      </c>
      <c r="O21">
        <v>7800</v>
      </c>
      <c r="P21" s="2">
        <v>1000000</v>
      </c>
      <c r="R21" s="4" t="s">
        <v>86</v>
      </c>
    </row>
    <row r="22" spans="1:18" x14ac:dyDescent="0.25">
      <c r="A22" s="3" t="s">
        <v>76</v>
      </c>
      <c r="B22" s="8">
        <v>2020</v>
      </c>
      <c r="C22" s="8">
        <v>625</v>
      </c>
      <c r="D22" s="3">
        <v>78</v>
      </c>
      <c r="E22" s="8">
        <v>101</v>
      </c>
      <c r="F22" s="8">
        <v>601</v>
      </c>
      <c r="G22">
        <v>200</v>
      </c>
      <c r="H22" t="s">
        <v>6</v>
      </c>
      <c r="I22" s="1">
        <v>0.8</v>
      </c>
      <c r="J22" s="8">
        <v>48</v>
      </c>
      <c r="K22" s="2">
        <v>4890000</v>
      </c>
      <c r="L22" s="14">
        <v>4.7</v>
      </c>
      <c r="M22">
        <v>0.22</v>
      </c>
      <c r="N22">
        <v>12.5</v>
      </c>
      <c r="O22">
        <v>7800</v>
      </c>
      <c r="P22" s="2">
        <v>1000000</v>
      </c>
      <c r="R22" s="4" t="s">
        <v>87</v>
      </c>
    </row>
    <row r="23" spans="1:18" x14ac:dyDescent="0.25">
      <c r="A23" s="3" t="s">
        <v>77</v>
      </c>
      <c r="B23" s="8">
        <v>2020</v>
      </c>
      <c r="C23" s="8">
        <v>625</v>
      </c>
      <c r="D23" s="3">
        <v>65</v>
      </c>
      <c r="E23" s="8">
        <v>101</v>
      </c>
      <c r="F23" s="8">
        <v>601</v>
      </c>
      <c r="G23">
        <v>200</v>
      </c>
      <c r="H23" t="s">
        <v>6</v>
      </c>
      <c r="I23" s="1">
        <v>0.8</v>
      </c>
      <c r="J23" s="8">
        <v>48</v>
      </c>
      <c r="K23" s="2">
        <v>4890000</v>
      </c>
      <c r="L23" s="14">
        <v>4.7</v>
      </c>
      <c r="M23">
        <v>0.18</v>
      </c>
      <c r="N23">
        <v>11.1</v>
      </c>
      <c r="O23">
        <v>7800</v>
      </c>
      <c r="P23" s="2">
        <v>900000</v>
      </c>
      <c r="R23" s="4" t="s">
        <v>88</v>
      </c>
    </row>
    <row r="24" spans="1:18" x14ac:dyDescent="0.25">
      <c r="A24" s="3" t="s">
        <v>89</v>
      </c>
      <c r="B24" s="8">
        <v>2020</v>
      </c>
      <c r="C24" s="8">
        <v>625</v>
      </c>
      <c r="D24" s="3">
        <v>65</v>
      </c>
      <c r="E24" s="8">
        <v>101</v>
      </c>
      <c r="F24" s="8">
        <v>601</v>
      </c>
      <c r="G24">
        <v>200</v>
      </c>
      <c r="H24" t="s">
        <v>6</v>
      </c>
      <c r="I24" s="1">
        <v>0.8</v>
      </c>
      <c r="J24" s="8">
        <v>70</v>
      </c>
      <c r="K24" s="2">
        <v>4890000</v>
      </c>
      <c r="L24" s="14">
        <v>4.7</v>
      </c>
      <c r="M24">
        <v>0.73</v>
      </c>
      <c r="N24">
        <v>8.1</v>
      </c>
      <c r="O24">
        <v>7800</v>
      </c>
      <c r="P24" s="2">
        <v>600000</v>
      </c>
      <c r="R24" s="4" t="s">
        <v>90</v>
      </c>
    </row>
    <row r="25" spans="1:18" x14ac:dyDescent="0.25">
      <c r="A25" s="10" t="s">
        <v>91</v>
      </c>
      <c r="B25" s="11">
        <v>1523</v>
      </c>
      <c r="C25" s="11">
        <v>625</v>
      </c>
      <c r="D25" s="10">
        <v>65</v>
      </c>
      <c r="E25" s="11">
        <v>101</v>
      </c>
      <c r="F25" s="11">
        <v>601</v>
      </c>
      <c r="G25" s="12">
        <v>200</v>
      </c>
      <c r="H25" s="12" t="s">
        <v>6</v>
      </c>
      <c r="I25" s="18">
        <v>0.8</v>
      </c>
      <c r="J25" s="11">
        <v>70</v>
      </c>
      <c r="K25" s="13">
        <v>4890000</v>
      </c>
      <c r="L25" s="19">
        <v>4.7</v>
      </c>
      <c r="M25" s="12">
        <v>0.62</v>
      </c>
      <c r="N25" s="12">
        <v>9.6</v>
      </c>
      <c r="O25" s="12">
        <v>7800</v>
      </c>
      <c r="P25" s="2">
        <v>500000</v>
      </c>
    </row>
    <row r="26" spans="1:18" x14ac:dyDescent="0.25">
      <c r="A26" s="3" t="s">
        <v>94</v>
      </c>
      <c r="B26" s="4">
        <v>1523</v>
      </c>
      <c r="C26" s="4">
        <v>625</v>
      </c>
      <c r="D26" s="3">
        <v>65</v>
      </c>
      <c r="E26" s="8">
        <v>101</v>
      </c>
      <c r="F26" s="8">
        <v>601</v>
      </c>
      <c r="G26">
        <v>200</v>
      </c>
      <c r="H26" t="s">
        <v>6</v>
      </c>
      <c r="I26" s="1">
        <v>0.8</v>
      </c>
      <c r="J26" s="8">
        <v>48</v>
      </c>
      <c r="K26" s="2">
        <v>4890000</v>
      </c>
      <c r="L26" s="14">
        <v>4.7</v>
      </c>
      <c r="M26">
        <v>0.15</v>
      </c>
      <c r="N26">
        <v>13.2</v>
      </c>
      <c r="O26">
        <v>7800</v>
      </c>
      <c r="P26" s="2">
        <v>1000000</v>
      </c>
    </row>
    <row r="27" spans="1:18" x14ac:dyDescent="0.25">
      <c r="A27" s="3" t="s">
        <v>97</v>
      </c>
      <c r="B27" s="8">
        <v>1523</v>
      </c>
      <c r="C27" s="8">
        <v>625</v>
      </c>
      <c r="D27" s="3">
        <v>100</v>
      </c>
      <c r="E27" s="8">
        <v>101</v>
      </c>
      <c r="F27" s="8">
        <v>601</v>
      </c>
      <c r="G27">
        <v>200</v>
      </c>
      <c r="H27" t="s">
        <v>6</v>
      </c>
      <c r="I27" s="1">
        <v>0.8</v>
      </c>
      <c r="J27" s="8">
        <v>48</v>
      </c>
      <c r="K27" s="2">
        <v>4890000</v>
      </c>
      <c r="L27" s="14">
        <v>4.7</v>
      </c>
      <c r="M27">
        <v>0.24</v>
      </c>
      <c r="N27">
        <v>16.7</v>
      </c>
      <c r="O27">
        <v>7800</v>
      </c>
      <c r="P27" s="2">
        <v>1000000</v>
      </c>
    </row>
    <row r="28" spans="1:18" x14ac:dyDescent="0.25">
      <c r="A28" s="3" t="s">
        <v>100</v>
      </c>
      <c r="B28" s="4">
        <v>1523</v>
      </c>
      <c r="C28" s="4">
        <v>625</v>
      </c>
      <c r="D28" s="3">
        <v>65</v>
      </c>
      <c r="E28" s="8">
        <v>101</v>
      </c>
      <c r="F28" s="8">
        <v>601</v>
      </c>
      <c r="G28">
        <v>200</v>
      </c>
      <c r="H28" t="s">
        <v>6</v>
      </c>
      <c r="I28" s="1">
        <v>0.8</v>
      </c>
      <c r="J28" s="8">
        <v>48</v>
      </c>
      <c r="K28" s="2">
        <v>4890000</v>
      </c>
      <c r="L28" s="14">
        <v>4</v>
      </c>
      <c r="M28">
        <v>0.17</v>
      </c>
      <c r="N28">
        <v>11.8</v>
      </c>
      <c r="O28">
        <v>7600</v>
      </c>
      <c r="P28" s="2">
        <v>800000</v>
      </c>
      <c r="Q28" t="s">
        <v>123</v>
      </c>
    </row>
    <row r="29" spans="1:18" x14ac:dyDescent="0.25">
      <c r="A29" s="3" t="s">
        <v>101</v>
      </c>
      <c r="B29" s="4">
        <v>1523</v>
      </c>
      <c r="C29" s="4">
        <v>625</v>
      </c>
      <c r="D29" s="3">
        <v>65</v>
      </c>
      <c r="E29" s="8">
        <v>101</v>
      </c>
      <c r="F29" s="8">
        <v>601</v>
      </c>
      <c r="G29">
        <v>200</v>
      </c>
      <c r="H29" t="s">
        <v>6</v>
      </c>
      <c r="I29" s="1">
        <v>0.8</v>
      </c>
      <c r="J29" s="8">
        <v>48</v>
      </c>
      <c r="K29" s="2">
        <v>4890000</v>
      </c>
      <c r="L29" s="14">
        <v>3.5</v>
      </c>
      <c r="M29">
        <v>0.18</v>
      </c>
      <c r="N29">
        <v>10.6</v>
      </c>
      <c r="O29">
        <v>5900</v>
      </c>
      <c r="P29" s="2">
        <v>700000</v>
      </c>
      <c r="Q29" t="s">
        <v>124</v>
      </c>
    </row>
    <row r="30" spans="1:18" x14ac:dyDescent="0.25">
      <c r="A30" s="3" t="s">
        <v>104</v>
      </c>
      <c r="B30" s="4">
        <v>1523</v>
      </c>
      <c r="C30" s="4">
        <v>625</v>
      </c>
      <c r="D30" s="3">
        <v>65</v>
      </c>
      <c r="E30" s="8">
        <v>101</v>
      </c>
      <c r="F30" s="8">
        <v>601</v>
      </c>
      <c r="G30">
        <v>200</v>
      </c>
      <c r="H30" t="s">
        <v>6</v>
      </c>
      <c r="I30" s="1">
        <v>0.8</v>
      </c>
      <c r="J30" s="8">
        <v>48</v>
      </c>
      <c r="K30" s="2">
        <v>4890000</v>
      </c>
      <c r="L30" s="14">
        <v>5</v>
      </c>
      <c r="M30">
        <v>0.15</v>
      </c>
      <c r="N30">
        <v>13.8</v>
      </c>
      <c r="O30">
        <v>8500</v>
      </c>
      <c r="P30" s="2">
        <v>1000000</v>
      </c>
      <c r="Q30" t="s">
        <v>125</v>
      </c>
    </row>
    <row r="31" spans="1:18" x14ac:dyDescent="0.25">
      <c r="A31" s="3" t="s">
        <v>106</v>
      </c>
      <c r="B31" s="4">
        <v>1523</v>
      </c>
      <c r="C31" s="4">
        <v>625</v>
      </c>
      <c r="D31" s="3">
        <v>156</v>
      </c>
      <c r="E31" s="8">
        <v>101</v>
      </c>
      <c r="F31" s="8">
        <v>601</v>
      </c>
      <c r="G31" s="4">
        <v>200</v>
      </c>
      <c r="H31" t="s">
        <v>6</v>
      </c>
      <c r="I31" s="1">
        <v>0.8</v>
      </c>
      <c r="J31" s="4">
        <v>70</v>
      </c>
      <c r="K31" s="2">
        <v>4890000</v>
      </c>
      <c r="L31" s="14">
        <v>4.7</v>
      </c>
      <c r="M31">
        <v>4.0999999999999996</v>
      </c>
      <c r="N31">
        <v>15.3</v>
      </c>
      <c r="O31">
        <v>7900</v>
      </c>
      <c r="P31" s="2">
        <v>600000</v>
      </c>
      <c r="Q31" t="s">
        <v>130</v>
      </c>
    </row>
    <row r="32" spans="1:18" x14ac:dyDescent="0.25">
      <c r="A32" s="3" t="s">
        <v>113</v>
      </c>
      <c r="B32" s="4">
        <v>1523</v>
      </c>
      <c r="C32" s="4">
        <v>625</v>
      </c>
      <c r="D32" s="3">
        <v>65</v>
      </c>
      <c r="E32" s="8">
        <v>101</v>
      </c>
      <c r="F32" s="8">
        <v>601</v>
      </c>
      <c r="G32" s="4">
        <v>200</v>
      </c>
      <c r="H32" t="s">
        <v>6</v>
      </c>
      <c r="I32" s="1">
        <v>0.8</v>
      </c>
      <c r="J32" s="4">
        <v>70</v>
      </c>
      <c r="K32" s="2">
        <v>4890000</v>
      </c>
      <c r="L32" s="14">
        <v>4</v>
      </c>
      <c r="M32">
        <v>0.67</v>
      </c>
      <c r="N32">
        <v>8.1999999999999993</v>
      </c>
      <c r="O32">
        <v>6600</v>
      </c>
      <c r="P32" s="2">
        <v>500000</v>
      </c>
      <c r="Q32" t="s">
        <v>131</v>
      </c>
    </row>
    <row r="33" spans="1:18" x14ac:dyDescent="0.25">
      <c r="A33" s="3" t="s">
        <v>114</v>
      </c>
      <c r="B33" s="4">
        <v>1523</v>
      </c>
      <c r="C33" s="4">
        <v>625</v>
      </c>
      <c r="D33" s="3">
        <v>65</v>
      </c>
      <c r="E33" s="8">
        <v>101</v>
      </c>
      <c r="F33" s="8">
        <v>601</v>
      </c>
      <c r="G33" s="4">
        <v>200</v>
      </c>
      <c r="H33" t="s">
        <v>6</v>
      </c>
      <c r="I33" s="1">
        <v>0.8</v>
      </c>
      <c r="J33" s="4">
        <v>70</v>
      </c>
      <c r="K33" s="2">
        <v>4890000</v>
      </c>
      <c r="L33" s="14">
        <v>5</v>
      </c>
      <c r="M33">
        <v>0.6</v>
      </c>
      <c r="N33">
        <v>10.1</v>
      </c>
      <c r="O33">
        <v>8100</v>
      </c>
      <c r="P33" s="2">
        <v>600000</v>
      </c>
      <c r="Q33" t="s">
        <v>117</v>
      </c>
    </row>
    <row r="34" spans="1:18" x14ac:dyDescent="0.25">
      <c r="A34" s="3" t="s">
        <v>118</v>
      </c>
      <c r="B34" s="8">
        <v>1523</v>
      </c>
      <c r="C34" s="8">
        <v>625</v>
      </c>
      <c r="D34" s="3">
        <v>100</v>
      </c>
      <c r="E34" s="8">
        <v>101</v>
      </c>
      <c r="F34" s="8">
        <v>601</v>
      </c>
      <c r="G34">
        <v>200</v>
      </c>
      <c r="H34" t="s">
        <v>6</v>
      </c>
      <c r="I34" s="1">
        <v>0.8</v>
      </c>
      <c r="J34" s="8">
        <v>70</v>
      </c>
      <c r="K34" s="2">
        <v>4890000</v>
      </c>
      <c r="L34" s="14">
        <v>4.7</v>
      </c>
      <c r="M34">
        <v>1.4</v>
      </c>
      <c r="N34">
        <v>12</v>
      </c>
      <c r="O34">
        <v>8000</v>
      </c>
      <c r="P34" s="2">
        <v>0</v>
      </c>
      <c r="Q34" t="s">
        <v>132</v>
      </c>
      <c r="R34" t="s">
        <v>133</v>
      </c>
    </row>
    <row r="35" spans="1:18" x14ac:dyDescent="0.25">
      <c r="A35" s="3" t="s">
        <v>119</v>
      </c>
      <c r="B35" s="4">
        <v>1523</v>
      </c>
      <c r="C35" s="4">
        <v>625</v>
      </c>
      <c r="D35" s="3">
        <v>65</v>
      </c>
      <c r="E35" s="8">
        <v>101</v>
      </c>
      <c r="F35" s="8">
        <v>601</v>
      </c>
      <c r="G35">
        <v>200</v>
      </c>
      <c r="H35" t="s">
        <v>6</v>
      </c>
      <c r="I35" s="1">
        <v>0.8</v>
      </c>
      <c r="J35" s="8">
        <v>70</v>
      </c>
      <c r="K35" s="2">
        <v>4890000</v>
      </c>
      <c r="L35" s="14">
        <v>3.5</v>
      </c>
      <c r="M35">
        <v>0.71</v>
      </c>
      <c r="N35">
        <v>7.2</v>
      </c>
      <c r="O35">
        <v>6000</v>
      </c>
      <c r="P35" s="2">
        <v>400000</v>
      </c>
      <c r="Q35" t="s">
        <v>134</v>
      </c>
    </row>
    <row r="36" spans="1:18" x14ac:dyDescent="0.25">
      <c r="A36" s="3"/>
      <c r="B36" s="4"/>
      <c r="C36" s="4"/>
      <c r="D36" s="3"/>
      <c r="E36" s="8"/>
      <c r="F36" s="8"/>
      <c r="I36" s="1"/>
      <c r="J36" s="8"/>
      <c r="K36" s="2"/>
      <c r="L36" s="14"/>
    </row>
    <row r="37" spans="1:18" x14ac:dyDescent="0.25">
      <c r="A37" s="17" t="s">
        <v>120</v>
      </c>
      <c r="B37" s="4"/>
      <c r="C37" s="4"/>
      <c r="D37" s="3"/>
      <c r="E37" s="8"/>
      <c r="F37" s="8"/>
      <c r="I37" s="1"/>
      <c r="J37" s="8"/>
      <c r="K37" s="2"/>
      <c r="L37" s="15"/>
    </row>
    <row r="38" spans="1:18" x14ac:dyDescent="0.25">
      <c r="A38" s="3">
        <v>1</v>
      </c>
      <c r="B38" s="4">
        <v>1523</v>
      </c>
      <c r="C38" s="4">
        <v>625</v>
      </c>
      <c r="D38" s="3">
        <v>65</v>
      </c>
      <c r="E38" s="8">
        <v>101</v>
      </c>
      <c r="F38" s="8">
        <v>601</v>
      </c>
      <c r="G38">
        <v>200</v>
      </c>
      <c r="H38" t="s">
        <v>6</v>
      </c>
      <c r="I38" s="1">
        <v>0.8</v>
      </c>
      <c r="J38" s="8">
        <v>70</v>
      </c>
      <c r="K38" s="2">
        <v>5000000</v>
      </c>
      <c r="L38" s="14">
        <v>4.7</v>
      </c>
      <c r="M38">
        <v>0.61</v>
      </c>
      <c r="N38">
        <v>9.6</v>
      </c>
      <c r="O38">
        <v>8000</v>
      </c>
      <c r="P38" s="2">
        <v>680000</v>
      </c>
      <c r="R38" t="s">
        <v>98</v>
      </c>
    </row>
    <row r="39" spans="1:18" x14ac:dyDescent="0.25">
      <c r="A39" s="3">
        <v>2</v>
      </c>
      <c r="B39" s="4">
        <v>1523</v>
      </c>
      <c r="C39" s="4">
        <v>625</v>
      </c>
      <c r="D39" s="3">
        <v>65</v>
      </c>
      <c r="E39" s="8">
        <v>101</v>
      </c>
      <c r="F39" s="8">
        <v>601</v>
      </c>
      <c r="G39">
        <v>200</v>
      </c>
      <c r="H39" t="s">
        <v>6</v>
      </c>
      <c r="I39" s="1">
        <v>0.8</v>
      </c>
      <c r="J39" s="8">
        <v>70</v>
      </c>
      <c r="K39" s="2">
        <v>5500000</v>
      </c>
      <c r="L39" s="14">
        <v>4.7</v>
      </c>
      <c r="M39">
        <v>0.59</v>
      </c>
      <c r="N39">
        <v>10.1</v>
      </c>
      <c r="O39">
        <v>8000</v>
      </c>
      <c r="P39" s="2">
        <v>700000</v>
      </c>
      <c r="Q39" t="s">
        <v>102</v>
      </c>
      <c r="R39" t="s">
        <v>99</v>
      </c>
    </row>
    <row r="40" spans="1:18" x14ac:dyDescent="0.25">
      <c r="A40" s="3">
        <v>3</v>
      </c>
      <c r="B40" s="4">
        <v>1523</v>
      </c>
      <c r="C40" s="4">
        <v>625</v>
      </c>
      <c r="D40" s="3">
        <v>65</v>
      </c>
      <c r="E40" s="8">
        <v>101</v>
      </c>
      <c r="F40" s="8">
        <v>601</v>
      </c>
      <c r="G40">
        <v>200</v>
      </c>
      <c r="H40" t="s">
        <v>6</v>
      </c>
      <c r="I40" s="1">
        <v>0.8</v>
      </c>
      <c r="J40" s="8">
        <v>70</v>
      </c>
      <c r="K40" s="2">
        <v>6000000</v>
      </c>
      <c r="L40" s="14">
        <v>4.7</v>
      </c>
      <c r="M40">
        <v>0.56999999999999995</v>
      </c>
      <c r="N40">
        <v>10.4</v>
      </c>
      <c r="O40">
        <v>8000</v>
      </c>
      <c r="P40" s="2">
        <v>800000</v>
      </c>
      <c r="Q40" t="s">
        <v>102</v>
      </c>
      <c r="R40" t="s">
        <v>103</v>
      </c>
    </row>
    <row r="41" spans="1:18" x14ac:dyDescent="0.25">
      <c r="A41" s="3">
        <v>4</v>
      </c>
      <c r="B41" s="4">
        <v>1523</v>
      </c>
      <c r="C41" s="4">
        <v>625</v>
      </c>
      <c r="D41" s="3">
        <v>65</v>
      </c>
      <c r="E41" s="8">
        <v>101</v>
      </c>
      <c r="F41" s="8">
        <v>601</v>
      </c>
      <c r="G41">
        <v>200</v>
      </c>
      <c r="H41" t="s">
        <v>6</v>
      </c>
      <c r="I41" s="1">
        <v>0.8</v>
      </c>
      <c r="J41" s="8">
        <v>70</v>
      </c>
      <c r="K41" s="2">
        <v>8000000</v>
      </c>
      <c r="L41" s="14">
        <v>4.7</v>
      </c>
      <c r="M41">
        <v>0.5</v>
      </c>
      <c r="N41">
        <v>11.7</v>
      </c>
      <c r="O41">
        <v>8000</v>
      </c>
      <c r="P41" s="2">
        <v>1200000</v>
      </c>
      <c r="Q41" t="s">
        <v>102</v>
      </c>
      <c r="R41" t="s">
        <v>105</v>
      </c>
    </row>
    <row r="42" spans="1:18" x14ac:dyDescent="0.25">
      <c r="A42" s="3">
        <v>5</v>
      </c>
      <c r="B42" s="4">
        <v>1523</v>
      </c>
      <c r="C42" s="4">
        <v>625</v>
      </c>
      <c r="D42" s="3">
        <v>65</v>
      </c>
      <c r="E42" s="8">
        <v>201</v>
      </c>
      <c r="F42" s="8">
        <v>1201</v>
      </c>
      <c r="G42">
        <v>200</v>
      </c>
      <c r="H42" t="s">
        <v>6</v>
      </c>
      <c r="I42" s="1">
        <v>0.8</v>
      </c>
      <c r="J42" s="8">
        <v>70</v>
      </c>
      <c r="K42" s="2">
        <v>8000000</v>
      </c>
      <c r="L42" s="14">
        <v>4.7</v>
      </c>
      <c r="M42">
        <v>0.38</v>
      </c>
      <c r="N42">
        <v>12.6</v>
      </c>
      <c r="O42">
        <v>8000</v>
      </c>
      <c r="P42" s="2">
        <v>1200000</v>
      </c>
      <c r="Q42" t="s">
        <v>117</v>
      </c>
      <c r="R42" t="s">
        <v>121</v>
      </c>
    </row>
    <row r="43" spans="1:18" x14ac:dyDescent="0.25">
      <c r="A43" s="17" t="s">
        <v>109</v>
      </c>
      <c r="D43" s="3"/>
      <c r="E43" s="8"/>
      <c r="F43" s="8"/>
      <c r="I43" s="1"/>
      <c r="J43" s="8"/>
      <c r="K43" s="2"/>
      <c r="L43" s="15"/>
    </row>
    <row r="44" spans="1:18" x14ac:dyDescent="0.25">
      <c r="A44" s="6" t="s">
        <v>110</v>
      </c>
      <c r="B44" s="4">
        <v>1523</v>
      </c>
      <c r="C44" s="4">
        <v>625</v>
      </c>
      <c r="D44" s="6">
        <v>65</v>
      </c>
      <c r="E44" s="4">
        <v>201</v>
      </c>
      <c r="F44" s="4">
        <v>1201</v>
      </c>
      <c r="G44" s="21">
        <v>200</v>
      </c>
      <c r="H44" s="21" t="s">
        <v>6</v>
      </c>
      <c r="I44" s="22">
        <v>0.8</v>
      </c>
      <c r="J44" s="4">
        <v>70</v>
      </c>
      <c r="K44" s="25">
        <v>4890000</v>
      </c>
      <c r="L44" s="14">
        <v>4.7</v>
      </c>
      <c r="M44" s="21">
        <v>0.63</v>
      </c>
      <c r="N44" s="21">
        <v>10</v>
      </c>
      <c r="O44" s="21">
        <v>7800</v>
      </c>
      <c r="P44" s="2">
        <v>600000</v>
      </c>
    </row>
    <row r="45" spans="1:18" x14ac:dyDescent="0.25">
      <c r="A45" s="3" t="s">
        <v>111</v>
      </c>
      <c r="B45" s="4">
        <v>1523</v>
      </c>
      <c r="C45" s="4">
        <v>625</v>
      </c>
      <c r="D45" s="3">
        <v>65</v>
      </c>
      <c r="E45" s="8">
        <v>201</v>
      </c>
      <c r="F45" s="8">
        <v>1201</v>
      </c>
      <c r="G45">
        <v>200</v>
      </c>
      <c r="H45" t="s">
        <v>6</v>
      </c>
      <c r="I45" s="1">
        <v>0.8</v>
      </c>
      <c r="J45" s="8">
        <v>48</v>
      </c>
      <c r="K45" s="2">
        <v>4890000</v>
      </c>
      <c r="L45" s="14">
        <v>4.7</v>
      </c>
      <c r="M45">
        <v>0.15</v>
      </c>
      <c r="N45">
        <v>14</v>
      </c>
      <c r="O45">
        <v>7800</v>
      </c>
    </row>
    <row r="46" spans="1:18" x14ac:dyDescent="0.25">
      <c r="A46" s="3" t="s">
        <v>112</v>
      </c>
      <c r="B46" s="4">
        <v>1523</v>
      </c>
      <c r="C46" s="4">
        <v>625</v>
      </c>
      <c r="D46" s="3">
        <v>65</v>
      </c>
      <c r="E46" s="8">
        <v>401</v>
      </c>
      <c r="F46" s="8">
        <v>2401</v>
      </c>
      <c r="G46">
        <v>200</v>
      </c>
      <c r="H46" t="s">
        <v>6</v>
      </c>
      <c r="I46" s="1">
        <v>0.8</v>
      </c>
      <c r="J46" s="8">
        <v>70</v>
      </c>
      <c r="K46" s="2">
        <v>4890000</v>
      </c>
      <c r="L46" s="14">
        <v>4.7</v>
      </c>
      <c r="M46">
        <v>0.44</v>
      </c>
      <c r="N46">
        <v>9.6</v>
      </c>
      <c r="O46">
        <v>8000</v>
      </c>
    </row>
    <row r="47" spans="1:18" x14ac:dyDescent="0.25">
      <c r="A47" s="3" t="s">
        <v>115</v>
      </c>
      <c r="B47" s="8">
        <v>1523</v>
      </c>
      <c r="C47" s="8">
        <v>625</v>
      </c>
      <c r="D47" s="3">
        <v>78</v>
      </c>
      <c r="E47" s="8">
        <v>201</v>
      </c>
      <c r="F47" s="8">
        <v>1201</v>
      </c>
      <c r="G47">
        <v>200</v>
      </c>
      <c r="H47" t="s">
        <v>6</v>
      </c>
      <c r="I47" s="1">
        <v>0.8</v>
      </c>
      <c r="J47" s="8">
        <v>70</v>
      </c>
      <c r="K47" s="2">
        <v>4890000</v>
      </c>
      <c r="L47" s="14">
        <v>4.7</v>
      </c>
      <c r="M47">
        <v>0.87</v>
      </c>
      <c r="N47">
        <v>11</v>
      </c>
      <c r="O47">
        <v>7800</v>
      </c>
      <c r="P47" s="2">
        <v>600000</v>
      </c>
      <c r="Q47" t="s">
        <v>116</v>
      </c>
    </row>
    <row r="48" spans="1:18" x14ac:dyDescent="0.25">
      <c r="A48" s="3"/>
      <c r="B48" s="8"/>
      <c r="C48" s="8"/>
      <c r="D48" s="3"/>
      <c r="J48" s="8"/>
      <c r="K48" s="8"/>
      <c r="L48" s="3"/>
    </row>
    <row r="49" spans="1:18" x14ac:dyDescent="0.25">
      <c r="A49" s="17" t="s">
        <v>126</v>
      </c>
      <c r="B49" s="8"/>
      <c r="C49" s="8"/>
      <c r="D49" s="3"/>
      <c r="J49" s="8"/>
      <c r="K49" s="8"/>
      <c r="L49" s="3"/>
    </row>
    <row r="50" spans="1:18" x14ac:dyDescent="0.25">
      <c r="A50" s="3" t="s">
        <v>127</v>
      </c>
      <c r="B50" s="4">
        <v>2043</v>
      </c>
      <c r="C50" s="4">
        <v>550</v>
      </c>
      <c r="D50" s="3">
        <v>70</v>
      </c>
      <c r="E50" s="4">
        <v>101</v>
      </c>
      <c r="F50" s="4">
        <v>601</v>
      </c>
      <c r="G50" s="4">
        <v>200</v>
      </c>
      <c r="H50" t="s">
        <v>6</v>
      </c>
      <c r="I50">
        <v>0.8</v>
      </c>
      <c r="J50" s="4">
        <v>48</v>
      </c>
      <c r="K50" s="9">
        <v>4890000</v>
      </c>
      <c r="L50" s="7">
        <v>4.07</v>
      </c>
      <c r="M50" s="4">
        <v>0.18</v>
      </c>
      <c r="N50" s="4">
        <v>12.2</v>
      </c>
      <c r="O50" s="4">
        <v>7600</v>
      </c>
      <c r="R50" t="s">
        <v>128</v>
      </c>
    </row>
    <row r="51" spans="1:18" x14ac:dyDescent="0.25">
      <c r="A51" s="3" t="s">
        <v>129</v>
      </c>
      <c r="B51" s="4">
        <v>2043</v>
      </c>
      <c r="C51" s="4">
        <v>550</v>
      </c>
      <c r="D51" s="3">
        <v>70</v>
      </c>
      <c r="E51" s="4">
        <v>101</v>
      </c>
      <c r="F51" s="4">
        <v>601</v>
      </c>
      <c r="G51" s="4">
        <v>200</v>
      </c>
      <c r="H51" t="s">
        <v>6</v>
      </c>
      <c r="I51">
        <v>0.8</v>
      </c>
      <c r="J51" s="4">
        <v>48</v>
      </c>
      <c r="K51" s="9">
        <v>4890000</v>
      </c>
      <c r="L51" s="7">
        <v>12.2</v>
      </c>
    </row>
    <row r="52" spans="1:18" x14ac:dyDescent="0.25">
      <c r="A52" s="3"/>
      <c r="B52" s="8"/>
      <c r="C52" s="8"/>
      <c r="D52" s="3"/>
      <c r="J52" s="8"/>
      <c r="K52" s="8"/>
      <c r="L52" s="3"/>
    </row>
    <row r="53" spans="1:18" x14ac:dyDescent="0.25">
      <c r="A53" s="3"/>
      <c r="B53" s="8"/>
      <c r="C53" s="8"/>
      <c r="D53" s="3"/>
      <c r="J53" s="8"/>
      <c r="K53" s="8"/>
      <c r="L53" s="3"/>
    </row>
    <row r="54" spans="1:18" x14ac:dyDescent="0.25">
      <c r="A54" s="3"/>
      <c r="B54" s="8"/>
      <c r="C54" s="8"/>
      <c r="D54" s="3"/>
      <c r="J54" s="8"/>
      <c r="K54" s="8"/>
      <c r="L54" s="3"/>
    </row>
    <row r="55" spans="1:18" x14ac:dyDescent="0.25">
      <c r="A55" s="3"/>
      <c r="B55" s="8"/>
      <c r="C55" s="8"/>
      <c r="D55" s="3"/>
      <c r="J55" s="8"/>
      <c r="K55" s="8"/>
      <c r="L55" s="3"/>
    </row>
    <row r="56" spans="1:18" x14ac:dyDescent="0.25">
      <c r="A56" s="3"/>
      <c r="B56" s="8"/>
      <c r="C56" s="8"/>
      <c r="D56" s="3"/>
      <c r="J56" s="8"/>
      <c r="K56" s="8"/>
      <c r="L56" s="3"/>
    </row>
  </sheetData>
  <autoFilter ref="A2:R47" xr:uid="{49C99752-6154-48AE-B9BC-04DA8123EC2F}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188EC-3268-404A-8733-94DAF537670F}">
  <sheetPr codeName="Sheet10"/>
  <dimension ref="A1:O87"/>
  <sheetViews>
    <sheetView workbookViewId="0">
      <selection activeCell="C42" sqref="C42"/>
    </sheetView>
  </sheetViews>
  <sheetFormatPr defaultRowHeight="15" x14ac:dyDescent="0.25"/>
  <cols>
    <col min="1" max="1" width="10.7109375" customWidth="1"/>
    <col min="4" max="4" width="14.85546875" bestFit="1" customWidth="1"/>
    <col min="7" max="7" width="10.85546875" bestFit="1" customWidth="1"/>
    <col min="9" max="9" width="11.85546875" bestFit="1" customWidth="1"/>
    <col min="12" max="12" width="14.7109375" bestFit="1" customWidth="1"/>
    <col min="13" max="14" width="14.7109375" customWidth="1"/>
    <col min="15" max="15" width="79.85546875" customWidth="1"/>
  </cols>
  <sheetData>
    <row r="1" spans="1:15" x14ac:dyDescent="0.25">
      <c r="B1" t="s">
        <v>7</v>
      </c>
      <c r="C1" s="8"/>
      <c r="I1" s="3"/>
      <c r="J1" t="s">
        <v>8</v>
      </c>
      <c r="N1" t="s">
        <v>69</v>
      </c>
    </row>
    <row r="2" spans="1:15" x14ac:dyDescent="0.25">
      <c r="A2" s="3" t="s">
        <v>0</v>
      </c>
      <c r="B2" s="8" t="s">
        <v>38</v>
      </c>
      <c r="C2" s="8" t="s">
        <v>39</v>
      </c>
      <c r="D2" t="s">
        <v>1</v>
      </c>
      <c r="E2" t="s">
        <v>2</v>
      </c>
      <c r="F2" t="s">
        <v>5</v>
      </c>
      <c r="G2" t="s">
        <v>3</v>
      </c>
      <c r="H2" t="s">
        <v>4</v>
      </c>
      <c r="I2" s="3" t="s">
        <v>19</v>
      </c>
      <c r="J2" s="4" t="s">
        <v>9</v>
      </c>
      <c r="K2" s="4" t="s">
        <v>10</v>
      </c>
      <c r="L2" s="4" t="s">
        <v>36</v>
      </c>
      <c r="M2" s="4" t="s">
        <v>40</v>
      </c>
      <c r="N2" s="4" t="s">
        <v>65</v>
      </c>
      <c r="O2" t="s">
        <v>21</v>
      </c>
    </row>
    <row r="3" spans="1:15" x14ac:dyDescent="0.25">
      <c r="A3" s="3" t="s">
        <v>32</v>
      </c>
      <c r="B3" s="8">
        <v>101</v>
      </c>
      <c r="C3" s="8">
        <v>601</v>
      </c>
      <c r="D3">
        <v>400</v>
      </c>
      <c r="E3">
        <v>800</v>
      </c>
      <c r="F3" t="s">
        <v>6</v>
      </c>
      <c r="G3">
        <v>70</v>
      </c>
      <c r="H3" s="2">
        <v>4890000</v>
      </c>
      <c r="I3" s="3">
        <v>63</v>
      </c>
      <c r="J3" s="4">
        <v>9.6000000000000002E-2</v>
      </c>
      <c r="K3" s="4">
        <v>0</v>
      </c>
      <c r="L3" s="4">
        <v>400</v>
      </c>
      <c r="M3" s="4"/>
      <c r="N3" s="4"/>
      <c r="O3" t="s">
        <v>56</v>
      </c>
    </row>
    <row r="4" spans="1:15" x14ac:dyDescent="0.25">
      <c r="A4" s="6" t="s">
        <v>35</v>
      </c>
      <c r="B4" s="8">
        <v>101</v>
      </c>
      <c r="C4" s="8">
        <v>601</v>
      </c>
      <c r="D4">
        <v>400</v>
      </c>
      <c r="E4">
        <v>800</v>
      </c>
      <c r="F4" t="s">
        <v>6</v>
      </c>
      <c r="G4">
        <v>48</v>
      </c>
      <c r="H4" s="2">
        <v>4890000</v>
      </c>
      <c r="I4" s="3">
        <v>63</v>
      </c>
      <c r="J4" s="4">
        <v>4.4999999999999998E-2</v>
      </c>
      <c r="K4" s="4">
        <v>0</v>
      </c>
      <c r="L4" s="4">
        <v>368</v>
      </c>
      <c r="M4" s="4"/>
      <c r="N4" s="4"/>
      <c r="O4" t="s">
        <v>56</v>
      </c>
    </row>
    <row r="5" spans="1:15" x14ac:dyDescent="0.25">
      <c r="A5" s="6" t="s">
        <v>33</v>
      </c>
      <c r="B5" s="8">
        <v>101</v>
      </c>
      <c r="C5" s="8">
        <v>601</v>
      </c>
      <c r="D5">
        <v>400</v>
      </c>
      <c r="E5">
        <v>900</v>
      </c>
      <c r="F5" t="s">
        <v>6</v>
      </c>
      <c r="G5">
        <v>70</v>
      </c>
      <c r="H5" s="2">
        <v>4890000</v>
      </c>
      <c r="I5" s="3">
        <v>63</v>
      </c>
      <c r="J5" s="4">
        <v>0.13</v>
      </c>
      <c r="K5" s="4">
        <v>0</v>
      </c>
      <c r="L5" s="4">
        <v>460</v>
      </c>
      <c r="M5" s="4"/>
      <c r="N5" s="4"/>
      <c r="O5" t="s">
        <v>56</v>
      </c>
    </row>
    <row r="6" spans="1:15" x14ac:dyDescent="0.25">
      <c r="A6" s="6" t="s">
        <v>34</v>
      </c>
      <c r="B6" s="8">
        <v>101</v>
      </c>
      <c r="C6" s="8">
        <v>601</v>
      </c>
      <c r="D6">
        <v>400</v>
      </c>
      <c r="E6">
        <v>1000</v>
      </c>
      <c r="F6" t="s">
        <v>6</v>
      </c>
      <c r="G6">
        <v>70</v>
      </c>
      <c r="H6" s="2">
        <v>4890000</v>
      </c>
      <c r="I6" s="3">
        <v>63</v>
      </c>
      <c r="J6" s="4">
        <v>0.15</v>
      </c>
      <c r="K6" s="4">
        <v>0</v>
      </c>
      <c r="L6" s="4">
        <v>500</v>
      </c>
      <c r="M6" s="4"/>
      <c r="N6" s="4"/>
      <c r="O6" t="s">
        <v>56</v>
      </c>
    </row>
    <row r="7" spans="1:15" x14ac:dyDescent="0.25">
      <c r="A7" s="3" t="s">
        <v>31</v>
      </c>
      <c r="B7" s="8">
        <v>101</v>
      </c>
      <c r="C7" s="8">
        <v>601</v>
      </c>
      <c r="D7">
        <v>400</v>
      </c>
      <c r="E7">
        <v>1200</v>
      </c>
      <c r="F7" t="s">
        <v>6</v>
      </c>
      <c r="G7">
        <v>78</v>
      </c>
      <c r="H7" s="2">
        <v>4890000</v>
      </c>
      <c r="I7" s="3">
        <v>63</v>
      </c>
      <c r="J7" s="4">
        <v>0.22</v>
      </c>
      <c r="K7" s="4">
        <v>0</v>
      </c>
      <c r="L7" s="4">
        <v>640</v>
      </c>
      <c r="M7" s="4"/>
      <c r="N7" s="4"/>
      <c r="O7" t="s">
        <v>56</v>
      </c>
    </row>
    <row r="8" spans="1:15" x14ac:dyDescent="0.25">
      <c r="A8" s="3" t="s">
        <v>18</v>
      </c>
      <c r="B8" s="8">
        <v>101</v>
      </c>
      <c r="C8" s="8">
        <v>601</v>
      </c>
      <c r="D8">
        <v>200</v>
      </c>
      <c r="E8" s="1">
        <v>1200</v>
      </c>
      <c r="F8" t="s">
        <v>6</v>
      </c>
      <c r="G8">
        <v>48</v>
      </c>
      <c r="H8" s="2">
        <v>4890000</v>
      </c>
      <c r="I8" s="3">
        <v>63</v>
      </c>
      <c r="J8" s="1">
        <v>0.4</v>
      </c>
      <c r="K8" s="4">
        <v>1.7</v>
      </c>
      <c r="L8">
        <v>2500</v>
      </c>
      <c r="O8" t="s">
        <v>56</v>
      </c>
    </row>
    <row r="9" spans="1:15" x14ac:dyDescent="0.25">
      <c r="A9" s="3" t="s">
        <v>20</v>
      </c>
      <c r="B9" s="8">
        <v>101</v>
      </c>
      <c r="C9" s="8">
        <v>601</v>
      </c>
      <c r="D9">
        <v>200</v>
      </c>
      <c r="E9" s="1">
        <v>1200</v>
      </c>
      <c r="F9" t="s">
        <v>6</v>
      </c>
      <c r="G9">
        <v>48</v>
      </c>
      <c r="H9" s="2">
        <v>4890000</v>
      </c>
      <c r="I9" s="7">
        <v>4.07</v>
      </c>
      <c r="J9">
        <v>0.22</v>
      </c>
      <c r="K9">
        <v>5.2</v>
      </c>
      <c r="L9">
        <v>9000</v>
      </c>
      <c r="O9" t="s">
        <v>55</v>
      </c>
    </row>
    <row r="10" spans="1:15" x14ac:dyDescent="0.25">
      <c r="A10" s="10" t="s">
        <v>30</v>
      </c>
      <c r="B10" s="11">
        <v>101</v>
      </c>
      <c r="C10" s="11">
        <v>601</v>
      </c>
      <c r="D10" s="12">
        <v>400</v>
      </c>
      <c r="E10" s="12">
        <v>1200</v>
      </c>
      <c r="F10" s="12" t="s">
        <v>6</v>
      </c>
      <c r="G10" s="12">
        <v>70</v>
      </c>
      <c r="H10" s="13">
        <v>4890000</v>
      </c>
      <c r="I10" s="10">
        <v>63</v>
      </c>
      <c r="J10" s="11">
        <v>0.17</v>
      </c>
      <c r="K10" s="11">
        <v>6.9</v>
      </c>
      <c r="L10" s="11">
        <v>20000</v>
      </c>
      <c r="M10" s="4"/>
      <c r="N10" s="4"/>
      <c r="O10" t="s">
        <v>56</v>
      </c>
    </row>
    <row r="11" spans="1:15" x14ac:dyDescent="0.25">
      <c r="A11" s="3" t="s">
        <v>22</v>
      </c>
      <c r="B11" s="8">
        <v>101</v>
      </c>
      <c r="C11" s="8">
        <v>601</v>
      </c>
      <c r="D11">
        <v>400</v>
      </c>
      <c r="E11" s="1" t="s">
        <v>6</v>
      </c>
      <c r="F11">
        <v>0.999</v>
      </c>
      <c r="G11">
        <v>70</v>
      </c>
      <c r="H11" s="2">
        <v>4890000</v>
      </c>
      <c r="I11" s="3">
        <v>63</v>
      </c>
      <c r="J11" s="4">
        <v>0.18</v>
      </c>
      <c r="K11" s="4">
        <v>7</v>
      </c>
      <c r="L11" s="4">
        <v>20000</v>
      </c>
      <c r="M11" s="4"/>
      <c r="N11" s="4"/>
      <c r="O11" t="s">
        <v>56</v>
      </c>
    </row>
    <row r="12" spans="1:15" x14ac:dyDescent="0.25">
      <c r="A12" s="3" t="s">
        <v>23</v>
      </c>
      <c r="B12" s="8">
        <v>101</v>
      </c>
      <c r="C12" s="8">
        <v>601</v>
      </c>
      <c r="D12">
        <v>400</v>
      </c>
      <c r="E12" s="1" t="s">
        <v>6</v>
      </c>
      <c r="F12">
        <v>0.9</v>
      </c>
      <c r="G12">
        <v>70</v>
      </c>
      <c r="H12" s="2">
        <v>4890000</v>
      </c>
      <c r="I12" s="3">
        <v>63</v>
      </c>
      <c r="J12" s="4">
        <v>0.18</v>
      </c>
      <c r="K12" s="4">
        <v>7</v>
      </c>
      <c r="L12" s="4">
        <v>20000</v>
      </c>
      <c r="M12" s="4"/>
      <c r="N12" s="4"/>
      <c r="O12" t="s">
        <v>56</v>
      </c>
    </row>
    <row r="13" spans="1:15" x14ac:dyDescent="0.25">
      <c r="A13" s="3" t="s">
        <v>24</v>
      </c>
      <c r="B13" s="8">
        <v>101</v>
      </c>
      <c r="C13" s="8">
        <v>601</v>
      </c>
      <c r="D13">
        <v>400</v>
      </c>
      <c r="E13" s="1" t="s">
        <v>6</v>
      </c>
      <c r="F13">
        <v>0.8</v>
      </c>
      <c r="G13">
        <v>70</v>
      </c>
      <c r="H13" s="2">
        <v>4890000</v>
      </c>
      <c r="I13" s="3">
        <v>63</v>
      </c>
      <c r="J13" s="4">
        <v>0.18</v>
      </c>
      <c r="K13" s="4">
        <v>7</v>
      </c>
      <c r="L13" s="4">
        <v>20000</v>
      </c>
      <c r="M13" s="4"/>
      <c r="N13" s="4"/>
      <c r="O13" t="s">
        <v>56</v>
      </c>
    </row>
    <row r="14" spans="1:15" x14ac:dyDescent="0.25">
      <c r="A14" s="3" t="s">
        <v>25</v>
      </c>
      <c r="B14" s="8">
        <v>101</v>
      </c>
      <c r="C14" s="8">
        <v>601</v>
      </c>
      <c r="D14">
        <v>400</v>
      </c>
      <c r="E14" s="1" t="s">
        <v>6</v>
      </c>
      <c r="F14">
        <v>0.7</v>
      </c>
      <c r="G14">
        <v>70</v>
      </c>
      <c r="H14" s="2">
        <v>4890000</v>
      </c>
      <c r="I14" s="3">
        <v>63</v>
      </c>
      <c r="J14" s="4">
        <v>0.18</v>
      </c>
      <c r="K14" s="4">
        <v>7</v>
      </c>
      <c r="L14" s="4">
        <v>20000</v>
      </c>
      <c r="M14" s="4"/>
      <c r="N14" s="4"/>
      <c r="O14" t="s">
        <v>56</v>
      </c>
    </row>
    <row r="15" spans="1:15" x14ac:dyDescent="0.25">
      <c r="A15" s="3" t="s">
        <v>26</v>
      </c>
      <c r="B15" s="8">
        <v>101</v>
      </c>
      <c r="C15" s="8">
        <v>601</v>
      </c>
      <c r="D15">
        <v>400</v>
      </c>
      <c r="E15" s="1" t="s">
        <v>6</v>
      </c>
      <c r="F15">
        <v>0.5</v>
      </c>
      <c r="G15">
        <v>70</v>
      </c>
      <c r="H15" s="2">
        <v>4890000</v>
      </c>
      <c r="I15" s="3">
        <v>63</v>
      </c>
      <c r="J15" s="4">
        <v>0.18</v>
      </c>
      <c r="K15" s="4">
        <v>7</v>
      </c>
      <c r="L15" s="4">
        <v>20000</v>
      </c>
      <c r="M15" s="4"/>
      <c r="N15" s="4"/>
      <c r="O15" t="s">
        <v>56</v>
      </c>
    </row>
    <row r="16" spans="1:15" x14ac:dyDescent="0.25">
      <c r="A16" s="3" t="s">
        <v>28</v>
      </c>
      <c r="B16" s="8">
        <v>101</v>
      </c>
      <c r="C16" s="8">
        <v>601</v>
      </c>
      <c r="D16">
        <v>200</v>
      </c>
      <c r="E16">
        <v>1200</v>
      </c>
      <c r="F16" s="1" t="s">
        <v>6</v>
      </c>
      <c r="G16">
        <v>70</v>
      </c>
      <c r="H16" s="2">
        <v>4890000</v>
      </c>
      <c r="I16" s="3">
        <v>63</v>
      </c>
      <c r="J16" s="4">
        <v>0.54</v>
      </c>
      <c r="K16" s="4">
        <v>7</v>
      </c>
      <c r="L16" s="4">
        <v>20000</v>
      </c>
      <c r="M16" s="4"/>
      <c r="N16" s="4"/>
      <c r="O16" t="s">
        <v>56</v>
      </c>
    </row>
    <row r="17" spans="1:15" x14ac:dyDescent="0.25">
      <c r="A17" s="3" t="s">
        <v>29</v>
      </c>
      <c r="B17" s="8">
        <v>101</v>
      </c>
      <c r="C17" s="8">
        <v>601</v>
      </c>
      <c r="D17">
        <v>400</v>
      </c>
      <c r="E17">
        <v>1200</v>
      </c>
      <c r="F17" s="1" t="s">
        <v>6</v>
      </c>
      <c r="G17">
        <v>48</v>
      </c>
      <c r="H17" s="2">
        <v>4890000</v>
      </c>
      <c r="I17" s="3">
        <v>63</v>
      </c>
      <c r="J17" s="4">
        <v>4.9000000000000002E-2</v>
      </c>
      <c r="K17" s="4">
        <v>8.6999999999999993</v>
      </c>
      <c r="L17" s="4">
        <v>21000</v>
      </c>
      <c r="M17" s="4"/>
      <c r="N17" s="4"/>
      <c r="O17" t="s">
        <v>56</v>
      </c>
    </row>
    <row r="18" spans="1:15" x14ac:dyDescent="0.25">
      <c r="A18" s="3" t="s">
        <v>27</v>
      </c>
      <c r="B18" s="8">
        <v>101</v>
      </c>
      <c r="C18" s="8">
        <v>601</v>
      </c>
      <c r="D18">
        <v>200</v>
      </c>
      <c r="E18">
        <v>1200</v>
      </c>
      <c r="F18" s="1" t="s">
        <v>6</v>
      </c>
      <c r="G18">
        <v>48</v>
      </c>
      <c r="H18" s="2">
        <v>4890000</v>
      </c>
      <c r="I18" s="3">
        <v>63</v>
      </c>
      <c r="J18" s="4">
        <v>0.15</v>
      </c>
      <c r="K18" s="4">
        <v>9.1999999999999993</v>
      </c>
      <c r="L18" s="4">
        <v>20000</v>
      </c>
      <c r="M18" s="4"/>
      <c r="N18" s="4"/>
      <c r="O18" t="s">
        <v>56</v>
      </c>
    </row>
    <row r="19" spans="1:15" x14ac:dyDescent="0.25">
      <c r="A19" s="6" t="s">
        <v>37</v>
      </c>
      <c r="B19" s="4">
        <v>101</v>
      </c>
      <c r="C19" s="4">
        <v>1201</v>
      </c>
      <c r="D19">
        <v>400</v>
      </c>
      <c r="E19">
        <v>1200</v>
      </c>
      <c r="F19" s="1" t="s">
        <v>6</v>
      </c>
      <c r="G19">
        <v>48</v>
      </c>
      <c r="H19" s="2">
        <v>4890000</v>
      </c>
      <c r="I19" s="3">
        <v>63</v>
      </c>
      <c r="J19" s="4">
        <v>5.3999999999999999E-2</v>
      </c>
      <c r="K19" s="4">
        <v>8.1</v>
      </c>
      <c r="L19" s="4">
        <v>20000</v>
      </c>
      <c r="M19" s="4"/>
      <c r="N19" s="4"/>
      <c r="O19" t="s">
        <v>56</v>
      </c>
    </row>
    <row r="20" spans="1:15" x14ac:dyDescent="0.25">
      <c r="A20" s="6" t="s">
        <v>41</v>
      </c>
      <c r="B20" s="4">
        <v>101</v>
      </c>
      <c r="C20" s="4">
        <v>601</v>
      </c>
      <c r="D20">
        <v>400</v>
      </c>
      <c r="E20">
        <v>1200</v>
      </c>
      <c r="F20" s="1" t="s">
        <v>6</v>
      </c>
      <c r="G20">
        <v>70</v>
      </c>
      <c r="H20" s="2">
        <v>489000</v>
      </c>
      <c r="I20" s="3">
        <v>63</v>
      </c>
      <c r="J20" s="4">
        <v>0.3</v>
      </c>
      <c r="K20" s="4">
        <v>0</v>
      </c>
      <c r="L20" s="4">
        <v>700</v>
      </c>
      <c r="O20" t="s">
        <v>56</v>
      </c>
    </row>
    <row r="21" spans="1:15" x14ac:dyDescent="0.25">
      <c r="A21" s="6"/>
      <c r="B21" s="4">
        <v>101</v>
      </c>
      <c r="C21" s="4">
        <v>601</v>
      </c>
      <c r="D21">
        <v>400</v>
      </c>
      <c r="E21">
        <v>1200</v>
      </c>
      <c r="F21" s="1" t="s">
        <v>6</v>
      </c>
      <c r="G21">
        <v>70</v>
      </c>
      <c r="H21" s="2">
        <v>48900000</v>
      </c>
      <c r="I21" s="3">
        <v>63</v>
      </c>
      <c r="J21" t="s">
        <v>42</v>
      </c>
      <c r="K21" t="s">
        <v>42</v>
      </c>
      <c r="L21" t="s">
        <v>42</v>
      </c>
      <c r="O21" t="s">
        <v>56</v>
      </c>
    </row>
    <row r="22" spans="1:15" x14ac:dyDescent="0.25">
      <c r="A22" s="6"/>
      <c r="B22" s="4">
        <v>101</v>
      </c>
      <c r="C22" s="4">
        <v>601</v>
      </c>
      <c r="D22">
        <v>400</v>
      </c>
      <c r="E22">
        <v>1200</v>
      </c>
      <c r="F22" s="1" t="s">
        <v>6</v>
      </c>
      <c r="G22">
        <v>78</v>
      </c>
      <c r="H22" s="2">
        <v>48900000</v>
      </c>
      <c r="I22" s="3">
        <v>63</v>
      </c>
      <c r="J22" t="s">
        <v>42</v>
      </c>
      <c r="K22" t="s">
        <v>42</v>
      </c>
      <c r="L22" t="s">
        <v>42</v>
      </c>
      <c r="O22" t="s">
        <v>56</v>
      </c>
    </row>
    <row r="23" spans="1:15" x14ac:dyDescent="0.25">
      <c r="A23" s="6" t="s">
        <v>47</v>
      </c>
      <c r="B23" s="4">
        <v>101</v>
      </c>
      <c r="C23" s="4">
        <v>601</v>
      </c>
      <c r="D23">
        <v>400</v>
      </c>
      <c r="E23">
        <v>1200</v>
      </c>
      <c r="F23" s="1" t="s">
        <v>6</v>
      </c>
      <c r="G23">
        <v>70</v>
      </c>
      <c r="H23" s="2">
        <v>4890000</v>
      </c>
      <c r="I23" s="3">
        <v>6.3</v>
      </c>
      <c r="J23" s="4">
        <v>0.32</v>
      </c>
      <c r="K23" s="4">
        <v>0</v>
      </c>
      <c r="L23" s="4">
        <v>800</v>
      </c>
    </row>
    <row r="24" spans="1:15" x14ac:dyDescent="0.25">
      <c r="A24" s="6" t="s">
        <v>48</v>
      </c>
      <c r="B24" s="4">
        <v>101</v>
      </c>
      <c r="C24" s="4">
        <v>601</v>
      </c>
      <c r="D24">
        <v>400</v>
      </c>
      <c r="E24">
        <v>1200</v>
      </c>
      <c r="F24" s="1" t="s">
        <v>6</v>
      </c>
      <c r="G24">
        <v>70</v>
      </c>
      <c r="H24" s="2">
        <v>4890000</v>
      </c>
      <c r="I24" s="3">
        <v>53</v>
      </c>
      <c r="J24" s="4">
        <v>0.18</v>
      </c>
      <c r="K24" s="4">
        <v>0</v>
      </c>
      <c r="L24" s="4">
        <v>600</v>
      </c>
    </row>
    <row r="25" spans="1:15" x14ac:dyDescent="0.25">
      <c r="A25" s="6" t="s">
        <v>49</v>
      </c>
      <c r="B25" s="4">
        <v>101</v>
      </c>
      <c r="C25" s="4">
        <v>601</v>
      </c>
      <c r="D25">
        <v>400</v>
      </c>
      <c r="E25">
        <v>1200</v>
      </c>
      <c r="F25" s="1" t="s">
        <v>6</v>
      </c>
      <c r="G25">
        <v>48</v>
      </c>
      <c r="H25" s="2">
        <v>4890000</v>
      </c>
      <c r="I25" s="3">
        <v>53</v>
      </c>
      <c r="J25" s="4">
        <v>5.3999999999999999E-2</v>
      </c>
      <c r="K25" s="4">
        <v>7.5</v>
      </c>
      <c r="L25" s="4">
        <v>17500</v>
      </c>
    </row>
    <row r="26" spans="1:15" x14ac:dyDescent="0.25">
      <c r="A26" s="6" t="s">
        <v>50</v>
      </c>
      <c r="B26" s="4">
        <v>101</v>
      </c>
      <c r="C26" s="4">
        <v>601</v>
      </c>
      <c r="D26">
        <v>400</v>
      </c>
      <c r="E26">
        <v>1200</v>
      </c>
      <c r="F26" s="1" t="s">
        <v>6</v>
      </c>
      <c r="G26">
        <v>48</v>
      </c>
      <c r="H26" s="2">
        <v>4890000</v>
      </c>
      <c r="I26" s="3">
        <v>43</v>
      </c>
      <c r="J26" s="4">
        <v>5.8999999999999997E-2</v>
      </c>
      <c r="K26" s="4">
        <v>6.9</v>
      </c>
      <c r="L26" s="4">
        <v>14000</v>
      </c>
    </row>
    <row r="27" spans="1:15" x14ac:dyDescent="0.25">
      <c r="A27" s="6" t="s">
        <v>51</v>
      </c>
      <c r="B27" s="4"/>
      <c r="C27" s="4"/>
      <c r="I27" s="3"/>
    </row>
    <row r="28" spans="1:15" x14ac:dyDescent="0.25">
      <c r="A28" s="6" t="s">
        <v>52</v>
      </c>
      <c r="B28" s="4">
        <v>101</v>
      </c>
      <c r="C28" s="4">
        <v>601</v>
      </c>
      <c r="D28">
        <v>400</v>
      </c>
      <c r="E28">
        <v>1200</v>
      </c>
      <c r="F28" s="1" t="s">
        <v>6</v>
      </c>
      <c r="G28">
        <v>70</v>
      </c>
      <c r="H28" s="2">
        <v>4890000</v>
      </c>
      <c r="I28" s="3">
        <v>63</v>
      </c>
      <c r="J28" s="4">
        <v>0.17</v>
      </c>
      <c r="K28">
        <v>6.9</v>
      </c>
      <c r="L28">
        <v>17500</v>
      </c>
      <c r="O28" t="s">
        <v>56</v>
      </c>
    </row>
    <row r="29" spans="1:15" x14ac:dyDescent="0.25">
      <c r="A29" s="6" t="s">
        <v>53</v>
      </c>
      <c r="B29" s="4">
        <v>101</v>
      </c>
      <c r="C29" s="4">
        <v>601</v>
      </c>
      <c r="D29">
        <v>400</v>
      </c>
      <c r="E29">
        <v>1200</v>
      </c>
      <c r="F29" s="1" t="s">
        <v>6</v>
      </c>
      <c r="G29">
        <v>70</v>
      </c>
      <c r="H29" s="2">
        <v>4890000</v>
      </c>
      <c r="I29" s="3">
        <v>20.6</v>
      </c>
      <c r="J29" s="4">
        <v>0.24</v>
      </c>
      <c r="K29" s="4">
        <v>6.0000000000000001E-3</v>
      </c>
      <c r="L29" s="4">
        <v>700</v>
      </c>
      <c r="O29" t="s">
        <v>54</v>
      </c>
    </row>
    <row r="30" spans="1:15" x14ac:dyDescent="0.25">
      <c r="A30" s="6" t="s">
        <v>58</v>
      </c>
      <c r="B30" s="4">
        <v>101</v>
      </c>
      <c r="C30" s="4">
        <v>601</v>
      </c>
      <c r="D30">
        <v>400</v>
      </c>
      <c r="E30" s="1" t="s">
        <v>6</v>
      </c>
      <c r="F30">
        <v>0.7</v>
      </c>
      <c r="G30">
        <v>70</v>
      </c>
      <c r="H30" s="2">
        <v>4890000</v>
      </c>
      <c r="I30" s="3">
        <v>20.6</v>
      </c>
      <c r="J30" s="4">
        <v>0.27</v>
      </c>
      <c r="K30" s="4">
        <v>2.9</v>
      </c>
      <c r="L30" s="4">
        <v>7000</v>
      </c>
      <c r="O30" t="s">
        <v>54</v>
      </c>
    </row>
    <row r="31" spans="1:15" x14ac:dyDescent="0.25">
      <c r="A31" s="6" t="s">
        <v>59</v>
      </c>
      <c r="B31" s="4">
        <v>101</v>
      </c>
      <c r="C31" s="4">
        <v>601</v>
      </c>
      <c r="D31">
        <v>400</v>
      </c>
      <c r="E31" s="1" t="s">
        <v>6</v>
      </c>
      <c r="F31">
        <v>0.8</v>
      </c>
      <c r="G31">
        <v>70</v>
      </c>
      <c r="H31" s="2">
        <v>4890000</v>
      </c>
      <c r="I31" s="3">
        <v>20.6</v>
      </c>
      <c r="J31" s="4">
        <v>0.27</v>
      </c>
      <c r="K31" s="4">
        <v>2.9</v>
      </c>
      <c r="L31" s="4">
        <v>7000</v>
      </c>
      <c r="O31" t="s">
        <v>54</v>
      </c>
    </row>
    <row r="32" spans="1:15" x14ac:dyDescent="0.25">
      <c r="A32" s="6" t="s">
        <v>60</v>
      </c>
      <c r="B32" s="8">
        <v>101</v>
      </c>
      <c r="C32" s="8">
        <v>601</v>
      </c>
      <c r="D32">
        <v>400</v>
      </c>
      <c r="E32">
        <v>800</v>
      </c>
      <c r="F32" t="s">
        <v>6</v>
      </c>
      <c r="G32">
        <v>70</v>
      </c>
      <c r="H32" s="2">
        <v>4890000</v>
      </c>
      <c r="I32" s="3">
        <v>63</v>
      </c>
      <c r="J32" s="4">
        <v>9.6000000000000002E-2</v>
      </c>
      <c r="K32" s="4">
        <v>3.0000000000000001E-3</v>
      </c>
      <c r="L32" s="4">
        <v>400</v>
      </c>
      <c r="O32" t="s">
        <v>56</v>
      </c>
    </row>
    <row r="33" spans="1:15" x14ac:dyDescent="0.25">
      <c r="A33" s="6" t="s">
        <v>61</v>
      </c>
      <c r="B33" s="8">
        <v>101</v>
      </c>
      <c r="C33" s="8">
        <v>601</v>
      </c>
      <c r="D33">
        <v>400</v>
      </c>
      <c r="E33">
        <v>800</v>
      </c>
      <c r="F33" t="s">
        <v>6</v>
      </c>
      <c r="G33">
        <v>48</v>
      </c>
      <c r="H33" s="2">
        <v>4890000</v>
      </c>
      <c r="I33" s="3">
        <v>63</v>
      </c>
      <c r="J33" s="4">
        <v>4.4999999999999998E-2</v>
      </c>
      <c r="K33" s="4">
        <v>8.9999999999999993E-3</v>
      </c>
      <c r="L33" s="4">
        <v>368</v>
      </c>
      <c r="O33" t="s">
        <v>56</v>
      </c>
    </row>
    <row r="34" spans="1:15" x14ac:dyDescent="0.25">
      <c r="A34" s="6" t="s">
        <v>62</v>
      </c>
      <c r="B34" s="8">
        <v>101</v>
      </c>
      <c r="C34" s="8">
        <v>601</v>
      </c>
      <c r="D34">
        <v>400</v>
      </c>
      <c r="E34">
        <v>1200</v>
      </c>
      <c r="F34" s="1" t="s">
        <v>6</v>
      </c>
      <c r="G34">
        <v>48</v>
      </c>
      <c r="H34" s="2">
        <v>4890000</v>
      </c>
      <c r="I34" s="3">
        <v>63</v>
      </c>
      <c r="J34" s="4">
        <v>0.05</v>
      </c>
      <c r="K34" s="4">
        <v>8.8000000000000007</v>
      </c>
      <c r="L34" s="4">
        <v>20000</v>
      </c>
      <c r="O34" t="s">
        <v>56</v>
      </c>
    </row>
    <row r="35" spans="1:15" x14ac:dyDescent="0.25">
      <c r="A35" s="6" t="s">
        <v>63</v>
      </c>
      <c r="B35" s="8">
        <v>101</v>
      </c>
      <c r="C35" s="8">
        <v>601</v>
      </c>
      <c r="D35">
        <v>200</v>
      </c>
      <c r="E35">
        <v>1200</v>
      </c>
      <c r="F35" s="1" t="s">
        <v>6</v>
      </c>
      <c r="G35">
        <v>48</v>
      </c>
      <c r="H35" s="2">
        <v>4890000</v>
      </c>
      <c r="I35" s="3">
        <v>63</v>
      </c>
      <c r="J35" s="4">
        <v>0.15</v>
      </c>
      <c r="K35" s="4">
        <v>8.8000000000000007</v>
      </c>
      <c r="L35" s="4">
        <v>20000</v>
      </c>
      <c r="O35" t="s">
        <v>56</v>
      </c>
    </row>
    <row r="36" spans="1:15" x14ac:dyDescent="0.25">
      <c r="A36" s="6" t="s">
        <v>64</v>
      </c>
      <c r="B36" s="8">
        <v>101</v>
      </c>
      <c r="C36" s="8">
        <v>601</v>
      </c>
      <c r="D36">
        <v>400</v>
      </c>
      <c r="E36">
        <v>1200</v>
      </c>
      <c r="F36" s="1" t="s">
        <v>6</v>
      </c>
      <c r="G36">
        <v>48</v>
      </c>
      <c r="H36" s="2">
        <v>4890000</v>
      </c>
      <c r="I36" s="7">
        <v>4.07</v>
      </c>
      <c r="J36" s="4">
        <v>7.9000000000000001E-2</v>
      </c>
      <c r="K36">
        <v>4.9000000000000004</v>
      </c>
      <c r="L36" s="4">
        <v>8000</v>
      </c>
      <c r="O36" t="s">
        <v>55</v>
      </c>
    </row>
    <row r="37" spans="1:15" x14ac:dyDescent="0.25">
      <c r="A37" s="6" t="s">
        <v>66</v>
      </c>
      <c r="B37" s="8">
        <v>101</v>
      </c>
      <c r="C37" s="8">
        <v>601</v>
      </c>
      <c r="D37">
        <v>200</v>
      </c>
      <c r="E37">
        <v>1200</v>
      </c>
      <c r="F37" s="1" t="s">
        <v>6</v>
      </c>
      <c r="G37">
        <v>70</v>
      </c>
      <c r="H37" s="2">
        <v>4890000</v>
      </c>
      <c r="I37" s="3">
        <v>63</v>
      </c>
      <c r="J37" s="4">
        <v>0.54</v>
      </c>
      <c r="K37" s="4">
        <v>6.9</v>
      </c>
      <c r="L37" s="4">
        <v>17500</v>
      </c>
      <c r="N37" t="s">
        <v>68</v>
      </c>
    </row>
    <row r="38" spans="1:15" x14ac:dyDescent="0.25">
      <c r="A38" s="6" t="s">
        <v>67</v>
      </c>
      <c r="B38" s="8">
        <v>101</v>
      </c>
      <c r="C38" s="8">
        <v>601</v>
      </c>
      <c r="D38">
        <v>200</v>
      </c>
      <c r="E38">
        <v>1200</v>
      </c>
      <c r="F38" s="1" t="s">
        <v>6</v>
      </c>
      <c r="G38">
        <v>70</v>
      </c>
      <c r="H38" s="2">
        <v>4890000</v>
      </c>
      <c r="I38" s="3">
        <v>20.6</v>
      </c>
      <c r="J38" s="4">
        <v>0.77</v>
      </c>
      <c r="K38" s="4">
        <v>2.76</v>
      </c>
      <c r="L38" s="4">
        <v>6000</v>
      </c>
      <c r="N38" t="s">
        <v>70</v>
      </c>
    </row>
    <row r="39" spans="1:15" x14ac:dyDescent="0.25">
      <c r="A39" s="6" t="s">
        <v>71</v>
      </c>
      <c r="B39" s="8">
        <v>101</v>
      </c>
      <c r="C39" s="8">
        <v>601</v>
      </c>
      <c r="D39">
        <v>200</v>
      </c>
      <c r="E39">
        <v>1200</v>
      </c>
      <c r="F39" s="1" t="s">
        <v>6</v>
      </c>
      <c r="G39">
        <v>48</v>
      </c>
      <c r="H39" s="2">
        <v>4890000</v>
      </c>
      <c r="I39" s="3">
        <v>20.6</v>
      </c>
      <c r="J39" s="4">
        <v>0.23</v>
      </c>
      <c r="K39" s="4">
        <v>4.28</v>
      </c>
      <c r="L39" s="4">
        <v>6000</v>
      </c>
      <c r="N39" t="s">
        <v>72</v>
      </c>
    </row>
    <row r="40" spans="1:15" x14ac:dyDescent="0.25">
      <c r="A40" s="6"/>
      <c r="B40" s="4"/>
      <c r="C40" s="4"/>
      <c r="I40" s="3"/>
    </row>
    <row r="41" spans="1:15" x14ac:dyDescent="0.25">
      <c r="A41" s="6"/>
      <c r="B41" s="4"/>
      <c r="C41" s="4"/>
      <c r="I41" s="3"/>
    </row>
    <row r="42" spans="1:15" ht="28.5" x14ac:dyDescent="0.45">
      <c r="A42" s="6"/>
      <c r="B42" s="4"/>
      <c r="C42" s="26" t="s">
        <v>144</v>
      </c>
      <c r="I42" s="3"/>
    </row>
    <row r="43" spans="1:15" x14ac:dyDescent="0.25">
      <c r="A43" s="6"/>
      <c r="B43" s="4"/>
      <c r="C43" s="4"/>
      <c r="I43" s="3"/>
    </row>
    <row r="44" spans="1:15" x14ac:dyDescent="0.25">
      <c r="A44" s="6"/>
      <c r="B44" s="4"/>
      <c r="C44" s="4"/>
      <c r="I44" s="3"/>
    </row>
    <row r="45" spans="1:15" x14ac:dyDescent="0.25">
      <c r="A45" s="6"/>
      <c r="B45" s="4"/>
      <c r="C45" s="4"/>
      <c r="I45" s="3"/>
    </row>
    <row r="46" spans="1:15" x14ac:dyDescent="0.25">
      <c r="A46" s="6"/>
      <c r="B46" s="4"/>
      <c r="C46" s="4"/>
      <c r="I46" s="3"/>
    </row>
    <row r="47" spans="1:15" x14ac:dyDescent="0.25">
      <c r="A47" s="6"/>
      <c r="B47" s="4"/>
      <c r="C47" s="4"/>
      <c r="I47" s="3"/>
    </row>
    <row r="48" spans="1:15" x14ac:dyDescent="0.25">
      <c r="A48" s="6"/>
      <c r="B48" s="4"/>
      <c r="C48" s="4"/>
      <c r="I48" s="3"/>
    </row>
    <row r="49" spans="1:9" x14ac:dyDescent="0.25">
      <c r="A49" s="6"/>
      <c r="B49" s="4"/>
      <c r="C49" s="4"/>
      <c r="I49" s="3"/>
    </row>
    <row r="50" spans="1:9" x14ac:dyDescent="0.25">
      <c r="A50" s="6"/>
      <c r="B50" s="4"/>
      <c r="C50" s="4"/>
      <c r="I50" s="3"/>
    </row>
    <row r="51" spans="1:9" x14ac:dyDescent="0.25">
      <c r="A51" s="6"/>
      <c r="B51" s="4"/>
      <c r="C51" s="4"/>
      <c r="I51" s="3"/>
    </row>
    <row r="52" spans="1:9" x14ac:dyDescent="0.25">
      <c r="A52" s="6"/>
      <c r="B52" s="4"/>
      <c r="C52" s="4"/>
      <c r="I52" s="3"/>
    </row>
    <row r="53" spans="1:9" x14ac:dyDescent="0.25">
      <c r="A53" s="6"/>
      <c r="B53" s="4"/>
      <c r="C53" s="4"/>
      <c r="I53" s="3"/>
    </row>
    <row r="54" spans="1:9" x14ac:dyDescent="0.25">
      <c r="A54" s="6"/>
      <c r="B54" s="4"/>
      <c r="C54" s="4"/>
      <c r="I54" s="3"/>
    </row>
    <row r="55" spans="1:9" x14ac:dyDescent="0.25">
      <c r="A55" s="6"/>
      <c r="B55" s="4"/>
      <c r="C55" s="4"/>
      <c r="I55" s="3"/>
    </row>
    <row r="56" spans="1:9" x14ac:dyDescent="0.25">
      <c r="A56" s="6"/>
      <c r="B56" s="4"/>
      <c r="C56" s="4"/>
      <c r="I56" s="3"/>
    </row>
    <row r="57" spans="1:9" x14ac:dyDescent="0.25">
      <c r="A57" s="6"/>
      <c r="B57" s="4"/>
      <c r="C57" s="4"/>
      <c r="I57" s="3"/>
    </row>
    <row r="58" spans="1:9" x14ac:dyDescent="0.25">
      <c r="A58" s="6"/>
      <c r="B58" s="4"/>
      <c r="C58" s="4"/>
      <c r="I58" s="3"/>
    </row>
    <row r="59" spans="1:9" x14ac:dyDescent="0.25">
      <c r="A59" s="6"/>
      <c r="B59" s="4"/>
      <c r="C59" s="4"/>
      <c r="I59" s="3"/>
    </row>
    <row r="60" spans="1:9" x14ac:dyDescent="0.25">
      <c r="A60" s="6"/>
      <c r="B60" s="4"/>
      <c r="C60" s="4"/>
      <c r="I60" s="3"/>
    </row>
    <row r="61" spans="1:9" x14ac:dyDescent="0.25">
      <c r="A61" s="6"/>
      <c r="B61" s="4"/>
      <c r="C61" s="4"/>
      <c r="I61" s="3"/>
    </row>
    <row r="62" spans="1:9" x14ac:dyDescent="0.25">
      <c r="A62" s="6"/>
      <c r="B62" s="4"/>
      <c r="C62" s="4"/>
      <c r="I62" s="3"/>
    </row>
    <row r="63" spans="1:9" x14ac:dyDescent="0.25">
      <c r="A63" s="6"/>
      <c r="B63" s="4"/>
      <c r="C63" s="4"/>
      <c r="I63" s="3"/>
    </row>
    <row r="64" spans="1:9" x14ac:dyDescent="0.25">
      <c r="A64" s="6"/>
      <c r="B64" s="4"/>
      <c r="C64" s="4"/>
      <c r="I64" s="3"/>
    </row>
    <row r="65" spans="1:9" x14ac:dyDescent="0.25">
      <c r="A65" s="6"/>
      <c r="B65" s="4"/>
      <c r="C65" s="4"/>
      <c r="I65" s="3"/>
    </row>
    <row r="66" spans="1:9" x14ac:dyDescent="0.25">
      <c r="A66" s="6"/>
      <c r="B66" s="4"/>
      <c r="C66" s="4"/>
      <c r="I66" s="3"/>
    </row>
    <row r="67" spans="1:9" x14ac:dyDescent="0.25">
      <c r="A67" s="6"/>
      <c r="B67" s="4"/>
      <c r="C67" s="4"/>
      <c r="I67" s="3"/>
    </row>
    <row r="68" spans="1:9" x14ac:dyDescent="0.25">
      <c r="A68" s="6"/>
      <c r="B68" s="4"/>
      <c r="C68" s="4"/>
      <c r="I68" s="3"/>
    </row>
    <row r="69" spans="1:9" x14ac:dyDescent="0.25">
      <c r="A69" s="6"/>
      <c r="B69" s="4"/>
      <c r="C69" s="4"/>
      <c r="I69" s="3"/>
    </row>
    <row r="70" spans="1:9" x14ac:dyDescent="0.25">
      <c r="A70" s="6"/>
      <c r="B70" s="4"/>
      <c r="C70" s="4"/>
      <c r="I70" s="3"/>
    </row>
    <row r="71" spans="1:9" x14ac:dyDescent="0.25">
      <c r="A71" s="6"/>
      <c r="B71" s="4"/>
      <c r="C71" s="4"/>
      <c r="I71" s="3"/>
    </row>
    <row r="72" spans="1:9" x14ac:dyDescent="0.25">
      <c r="A72" s="6"/>
      <c r="B72" s="4"/>
      <c r="C72" s="4"/>
      <c r="I72" s="3"/>
    </row>
    <row r="73" spans="1:9" x14ac:dyDescent="0.25">
      <c r="A73" s="6"/>
      <c r="B73" s="4"/>
      <c r="C73" s="4"/>
      <c r="I73" s="3"/>
    </row>
    <row r="74" spans="1:9" x14ac:dyDescent="0.25">
      <c r="A74" s="6"/>
      <c r="B74" s="4"/>
      <c r="C74" s="4"/>
      <c r="I74" s="3"/>
    </row>
    <row r="75" spans="1:9" x14ac:dyDescent="0.25">
      <c r="A75" s="6"/>
      <c r="B75" s="4"/>
      <c r="C75" s="4"/>
      <c r="I75" s="3"/>
    </row>
    <row r="76" spans="1:9" x14ac:dyDescent="0.25">
      <c r="A76" s="6"/>
      <c r="B76" s="4"/>
      <c r="C76" s="4"/>
      <c r="I76" s="3"/>
    </row>
    <row r="77" spans="1:9" x14ac:dyDescent="0.25">
      <c r="A77" s="6"/>
      <c r="B77" s="4"/>
      <c r="C77" s="4"/>
      <c r="I77" s="3"/>
    </row>
    <row r="78" spans="1:9" x14ac:dyDescent="0.25">
      <c r="A78" s="6"/>
      <c r="B78" s="4"/>
      <c r="C78" s="4"/>
      <c r="I78" s="3"/>
    </row>
    <row r="79" spans="1:9" x14ac:dyDescent="0.25">
      <c r="A79" s="6"/>
      <c r="B79" s="4"/>
      <c r="C79" s="4"/>
      <c r="I79" s="3"/>
    </row>
    <row r="80" spans="1:9" x14ac:dyDescent="0.25">
      <c r="A80" s="6"/>
      <c r="B80" s="4"/>
      <c r="C80" s="4"/>
      <c r="I80" s="3"/>
    </row>
    <row r="81" spans="1:9" x14ac:dyDescent="0.25">
      <c r="A81" s="6"/>
      <c r="B81" s="4"/>
      <c r="C81" s="4"/>
      <c r="I81" s="3"/>
    </row>
    <row r="82" spans="1:9" x14ac:dyDescent="0.25">
      <c r="A82" s="6"/>
      <c r="B82" s="4"/>
      <c r="C82" s="4"/>
      <c r="I82" s="3"/>
    </row>
    <row r="83" spans="1:9" x14ac:dyDescent="0.25">
      <c r="A83" s="6"/>
      <c r="B83" s="4"/>
      <c r="C83" s="4"/>
      <c r="I83" s="3"/>
    </row>
    <row r="84" spans="1:9" x14ac:dyDescent="0.25">
      <c r="A84" s="6"/>
      <c r="B84" s="4"/>
      <c r="C84" s="4"/>
      <c r="I84" s="3"/>
    </row>
    <row r="85" spans="1:9" x14ac:dyDescent="0.25">
      <c r="A85" s="6"/>
      <c r="B85" s="4"/>
      <c r="C85" s="4"/>
      <c r="I85" s="3"/>
    </row>
    <row r="86" spans="1:9" x14ac:dyDescent="0.25">
      <c r="A86" s="6"/>
      <c r="B86" s="4"/>
      <c r="C86" s="4"/>
      <c r="I86" s="3"/>
    </row>
    <row r="87" spans="1:9" x14ac:dyDescent="0.25">
      <c r="A87" s="6"/>
      <c r="B87" s="4"/>
      <c r="C87" s="4"/>
      <c r="I87" s="3"/>
    </row>
  </sheetData>
  <autoFilter ref="A2:O39" xr:uid="{49361AC2-0FC4-4902-86C7-B4FB07E48568}">
    <sortState xmlns:xlrd2="http://schemas.microsoft.com/office/spreadsheetml/2017/richdata2" ref="A3:O18">
      <sortCondition ref="K2:K18"/>
    </sortState>
  </autoFilter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D7DDE91-5D7F-4305-9BA4-CAE1FBBF597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Tests</vt:lpstr>
      <vt:lpstr>Tests-Pl</vt:lpstr>
      <vt:lpstr>Tests-Axi</vt:lpstr>
      <vt:lpstr>nano-Axi</vt:lpstr>
      <vt:lpstr>nano (3e5)</vt:lpstr>
      <vt:lpstr>Graphs</vt:lpstr>
      <vt:lpstr>Stacy2014</vt:lpstr>
      <vt:lpstr>Src</vt:lpstr>
      <vt:lpstr>ign</vt:lpstr>
      <vt:lpstr>Conserv</vt:lpstr>
      <vt:lpstr>VarPropEta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mepps</dc:creator>
  <cp:lastModifiedBy>Joseph</cp:lastModifiedBy>
  <dcterms:created xsi:type="dcterms:W3CDTF">2019-01-16T22:59:02Z</dcterms:created>
  <dcterms:modified xsi:type="dcterms:W3CDTF">2020-05-15T14:58:09Z</dcterms:modified>
</cp:coreProperties>
</file>